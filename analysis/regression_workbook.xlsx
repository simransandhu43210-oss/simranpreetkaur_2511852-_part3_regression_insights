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Data" sheetId="1" r:id="rId5"/>
    <sheet state="visible" name="Cleaned_Data" sheetId="2" r:id="rId6"/>
    <sheet state="visible" name="Dummy_Variables" sheetId="3" r:id="rId7"/>
    <sheet state="visible" name="Simple_Reg_Footfall" sheetId="4" r:id="rId8"/>
    <sheet state="visible" name="Simple_Reg_Marketing" sheetId="5" r:id="rId9"/>
    <sheet state="visible" name="Multiple_Regression" sheetId="6" r:id="rId10"/>
    <sheet state="visible" name="Predictions_Residuals" sheetId="7" r:id="rId11"/>
    <sheet state="visible" name="Model_Comparison" sheetId="8" r:id="rId12"/>
  </sheets>
  <definedNames/>
  <calcPr/>
</workbook>
</file>

<file path=xl/sharedStrings.xml><?xml version="1.0" encoding="utf-8"?>
<sst xmlns="http://schemas.openxmlformats.org/spreadsheetml/2006/main" count="3769" uniqueCount="177">
  <si>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</si>
  <si>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</si>
  <si>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</si>
  <si>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</si>
  <si>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</si>
  <si>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</si>
  <si>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</si>
  <si>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</si>
  <si>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</si>
  <si>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</si>
  <si>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</si>
  <si>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</si>
  <si>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</si>
  <si>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</si>
  <si>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</si>
  <si>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</si>
  <si>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</si>
  <si>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</si>
  <si>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</si>
  <si>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</si>
  <si>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</si>
  <si>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</si>
  <si>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</si>
  <si>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</si>
  <si>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</si>
  <si>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</si>
  <si>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</si>
  <si>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</si>
  <si>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</si>
  <si>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</si>
  <si>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</si>
  <si>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</si>
  <si>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</si>
  <si>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</si>
  <si>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</si>
  <si>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</si>
  <si>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</si>
  <si>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</si>
  <si>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</si>
  <si>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</si>
  <si>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</si>
  <si>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</si>
  <si>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</si>
  <si>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</si>
  <si>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</si>
  <si>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</si>
  <si>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</si>
  <si>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</si>
  <si>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</si>
  <si>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</si>
  <si>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</si>
  <si>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</si>
  <si>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</si>
  <si>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</si>
  <si>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</si>
  <si>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</si>
  <si>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</si>
  <si>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</si>
  <si>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</si>
  <si>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</si>
  <si>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</si>
  <si>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</si>
  <si>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</si>
  <si>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</si>
  <si>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</si>
  <si>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</si>
  <si>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</si>
  <si>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</si>
  <si>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</si>
  <si>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</si>
  <si>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</si>
  <si>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</si>
  <si>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</si>
  <si>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</si>
  <si>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</si>
  <si>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</si>
  <si>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</si>
  <si>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</si>
  <si>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</si>
  <si>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</si>
  <si>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</si>
  <si>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</si>
  <si>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</si>
  <si>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</si>
  <si>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</si>
  <si>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</si>
  <si>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</si>
  <si>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</si>
  <si>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</si>
  <si>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</si>
  <si>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</si>
  <si>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</si>
  <si>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</si>
  <si>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</si>
  <si>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</si>
  <si>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</si>
  <si>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</si>
  <si>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</si>
  <si>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</si>
  <si>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</si>
  <si>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</si>
  <si>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</si>
  <si>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Notes</t>
  </si>
  <si>
    <t>customer_rating: 8 nulls filled with median (3.9)</t>
  </si>
  <si>
    <t>competitor_distance_km: 6 nulls filled with median (3.365)</t>
  </si>
  <si>
    <t>store_Airport</t>
  </si>
  <si>
    <t>store_High Street</t>
  </si>
  <si>
    <t>store_Mall</t>
  </si>
  <si>
    <t>Reference_Category</t>
  </si>
  <si>
    <t>Dummy Variable Explanation</t>
  </si>
  <si>
    <t>YES - Reference</t>
  </si>
  <si>
    <t>Reference Category: Residential (dropped to avoid multicollinearity)</t>
  </si>
  <si>
    <t>store_Airport = 1 if Airport store, else 0</t>
  </si>
  <si>
    <t>store_High Street = 1 if High Street store, else 0</t>
  </si>
  <si>
    <t>store_Mall = 1 if Mall store, else 0</t>
  </si>
  <si>
    <t>When all three = 0, store is Residential (reference)</t>
  </si>
  <si>
    <t>Simple Linear Regression: footfall → monthly_sales</t>
  </si>
  <si>
    <t>Metric</t>
  </si>
  <si>
    <t>Value</t>
  </si>
  <si>
    <t>Intercept (b0)</t>
  </si>
  <si>
    <t>Coefficient (b1)</t>
  </si>
  <si>
    <t>R-squared</t>
  </si>
  <si>
    <t>Correlation (r)</t>
  </si>
  <si>
    <t>Std Error</t>
  </si>
  <si>
    <t>t-statistic</t>
  </si>
  <si>
    <t>p-value</t>
  </si>
  <si>
    <t>N (observations)</t>
  </si>
  <si>
    <t>Regression Equation</t>
  </si>
  <si>
    <t>monthly_sales = 446410.58 + 35.6780 × footfall</t>
  </si>
  <si>
    <t>Business Interpretation</t>
  </si>
  <si>
    <t>For every 1 additional customer visiting a store, monthly sales increase by approximately ₹35.68.</t>
  </si>
  <si>
    <t>Footfall explains 73.6% of variation in monthly sales (R²=0.7363). Highly significant (p&lt;0.001).</t>
  </si>
  <si>
    <t>CONCLUSION: Footfall is a STRONG and USEFUL predictor of monthly sales.</t>
  </si>
  <si>
    <t>Simple Linear Regression: marketing_spend → monthly_sales</t>
  </si>
  <si>
    <t>P-value</t>
  </si>
  <si>
    <t>monthly_sales = 560777.35 + 2.1296 × marketing_spend</t>
  </si>
  <si>
    <t>For every ₹1 increase in marketing spend, monthly sales increase by approximately ₹2.13.</t>
  </si>
  <si>
    <t>Marketing spend explains only 16.7% of variation in monthly sales (R²=0.1672). Significant (p&lt;0.001) but weak.</t>
  </si>
  <si>
    <t>CONCLUSION: Marketing spend is statistically significant but a WEAK standalone predictor.</t>
  </si>
  <si>
    <t>Multiple Linear Regression: monthly_sales ~ footfall + marketing_spend + staff_count + inventory_availability_pct + store_type dummies</t>
  </si>
  <si>
    <t>Model Summary</t>
  </si>
  <si>
    <t>Adj. R-squared</t>
  </si>
  <si>
    <t>K (predictors)</t>
  </si>
  <si>
    <t>Coefficients Table</t>
  </si>
  <si>
    <t>Variable</t>
  </si>
  <si>
    <t>Coefficient</t>
  </si>
  <si>
    <t>Significant?</t>
  </si>
  <si>
    <t>Intercept</t>
  </si>
  <si>
    <t>YES *</t>
  </si>
  <si>
    <t>YES ***</t>
  </si>
  <si>
    <t>YES **</t>
  </si>
  <si>
    <t>Business Interpretation of Each Variable</t>
  </si>
  <si>
    <t>Coef=28.94: Each additional visitor adds ~₹28.94 to monthly sales. STRONGEST driver.</t>
  </si>
  <si>
    <t>Coef=1.1626: Each ₹1 in marketing spend adds ~₹1.16 to sales. Significant.</t>
  </si>
  <si>
    <t>Coef=2636.17: Each additional staff member adds ~₹2,636 to monthly sales.</t>
  </si>
  <si>
    <t>Coef=3100.12: Each 1% increase in inventory availability adds ~₹3,100 to sales.</t>
  </si>
  <si>
    <t>Coef=39962.03: Airport stores sell ~₹39,962 more per month vs Residential (reference).</t>
  </si>
  <si>
    <t>Coef=17557.64: High Street stores sell ~₹17,558 more per month vs Residential.</t>
  </si>
  <si>
    <t>Coef=28984.87: Mall stores sell ~₹28,985 more per month vs Residential.</t>
  </si>
  <si>
    <t>predicted_sales</t>
  </si>
  <si>
    <t>residual</t>
  </si>
  <si>
    <t>Model Comparison Table</t>
  </si>
  <si>
    <t>Model</t>
  </si>
  <si>
    <t>Dependent Var</t>
  </si>
  <si>
    <t>Independent Variables</t>
  </si>
  <si>
    <t>Significant Vars</t>
  </si>
  <si>
    <t>Better for Business?</t>
  </si>
  <si>
    <t>Model 1 (Simple)</t>
  </si>
  <si>
    <t>footfall (p&lt;0.001)</t>
  </si>
  <si>
    <t>Partial - single factor only</t>
  </si>
  <si>
    <t>Model 2 (Simple)</t>
  </si>
  <si>
    <t>marketing_spend (p&lt;0.001)</t>
  </si>
  <si>
    <t>Weak - low explanatory power</t>
  </si>
  <si>
    <t>Model 3 (Multiple)</t>
  </si>
  <si>
    <t>footfall, marketing_spend, staff_count, inventory_availability_pct, store_type dummies</t>
  </si>
  <si>
    <t>All variables (p&lt;0.05)</t>
  </si>
  <si>
    <t>YES - Best model, highest R²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</si>
</sst>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00B050"/>
      <name val="Arial"/>
    </font>
    <font>
      <b/>
      <sz val="11.0"/>
      <color rgb="FFFF6600"/>
      <name val="Arial"/>
    </font>
    <font>
      <b/>
      <sz val="11.0"/>
      <color rgb="FFFFFFFF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1" fillId="3" fontId="9" numFmtId="0" xfId="0" applyBorder="1" applyFill="1" applyFont="1"/>
    <xf borderId="1" fillId="2" fontId="9" numFmtId="0" xfId="0" applyAlignment="1" applyBorder="1" applyFont="1">
      <alignment horizontal="center"/>
    </xf>
    <xf borderId="0" fillId="0" fontId="10" numFmtId="0" xfId="0" applyFont="1"/>
    <xf borderId="2" fillId="2" fontId="9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wrapText="1"/>
    </xf>
    <xf borderId="2" fillId="4" fontId="3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</row>
    <row r="21" ht="15.7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</row>
    <row r="22" ht="15.7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</row>
    <row r="23" ht="15.7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</row>
    <row r="24" ht="15.7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</row>
    <row r="25" ht="15.7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</row>
    <row r="26" ht="15.7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</row>
    <row r="27" ht="15.7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</row>
    <row r="28" ht="15.7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</row>
    <row r="29" ht="15.7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</row>
    <row r="30" ht="15.7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</row>
    <row r="31" ht="15.7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</row>
    <row r="32" ht="15.7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</row>
    <row r="33" ht="15.7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</row>
    <row r="34" ht="15.7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</row>
    <row r="35" ht="15.7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M35" s="2">
        <v>799477.76</v>
      </c>
      <c r="N35" s="2">
        <v>164974.41</v>
      </c>
    </row>
    <row r="36" ht="15.7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</row>
    <row r="37" ht="15.7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</row>
    <row r="38" ht="15.7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</row>
    <row r="39" ht="15.7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</row>
    <row r="40" ht="15.7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</row>
    <row r="41" ht="15.7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</row>
    <row r="42" ht="15.7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</row>
    <row r="43" ht="15.7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</row>
    <row r="44" ht="15.7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</row>
    <row r="45" ht="15.7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</row>
    <row r="46" ht="15.7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</row>
    <row r="47" ht="15.7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</row>
    <row r="48" ht="15.7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</row>
    <row r="49" ht="15.7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</row>
    <row r="50" ht="15.7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</row>
    <row r="51" ht="15.7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</row>
    <row r="52" ht="15.7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</row>
    <row r="53" ht="15.7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</row>
    <row r="54" ht="15.7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</row>
    <row r="55" ht="15.7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</row>
    <row r="56" ht="15.7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</row>
    <row r="57" ht="15.7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</row>
    <row r="58" ht="15.7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</row>
    <row r="59" ht="15.7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</row>
    <row r="60" ht="15.7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</row>
    <row r="61" ht="15.7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</row>
    <row r="62" ht="15.7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</row>
    <row r="63" ht="15.7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</row>
    <row r="64" ht="15.7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</row>
    <row r="65" ht="15.7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</row>
    <row r="66" ht="15.7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</row>
    <row r="67" ht="15.7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</row>
    <row r="68" ht="15.7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</row>
    <row r="69" ht="15.7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</row>
    <row r="70" ht="15.7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</row>
    <row r="71" ht="15.7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</row>
    <row r="72" ht="15.7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</row>
    <row r="73" ht="15.7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K73" s="2">
        <v>0.0</v>
      </c>
      <c r="L73" s="2">
        <v>3.5</v>
      </c>
      <c r="M73" s="2">
        <v>674774.09</v>
      </c>
      <c r="N73" s="2">
        <v>141917.59</v>
      </c>
    </row>
    <row r="74" ht="15.7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</row>
    <row r="75" ht="15.7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</row>
    <row r="76" ht="15.7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</row>
    <row r="77" ht="15.7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</row>
    <row r="78" ht="15.7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</row>
    <row r="79" ht="15.7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</row>
    <row r="80" ht="15.7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</row>
    <row r="81" ht="15.7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</row>
    <row r="82" ht="15.7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</row>
    <row r="83" ht="15.7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</row>
    <row r="84" ht="15.7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</row>
    <row r="85" ht="15.7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</row>
    <row r="86" ht="15.7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</row>
    <row r="87" ht="15.7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M87" s="2">
        <v>611766.72</v>
      </c>
      <c r="N87" s="2">
        <v>88275.61</v>
      </c>
    </row>
    <row r="88" ht="15.7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</row>
    <row r="89" ht="15.7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</row>
    <row r="90" ht="15.7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</row>
    <row r="91" ht="15.7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</row>
    <row r="92" ht="15.7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</row>
    <row r="93" ht="15.7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</row>
    <row r="94" ht="15.7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</row>
    <row r="95" ht="15.7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</row>
    <row r="96" ht="15.7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</row>
    <row r="97" ht="15.7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</row>
    <row r="98" ht="15.7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</row>
    <row r="99" ht="15.7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</row>
    <row r="100" ht="15.7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K100" s="2">
        <v>0.0</v>
      </c>
      <c r="L100" s="2">
        <v>4.3</v>
      </c>
      <c r="M100" s="2">
        <v>605775.33</v>
      </c>
      <c r="N100" s="2">
        <v>107194.6</v>
      </c>
    </row>
    <row r="101" ht="15.7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</row>
    <row r="102" ht="15.7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</row>
    <row r="103" ht="15.7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</row>
    <row r="104" ht="15.7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</row>
    <row r="105" ht="15.7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</row>
    <row r="106" ht="15.7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</row>
    <row r="107" ht="15.7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</row>
    <row r="108" ht="15.7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</row>
    <row r="109" ht="15.7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</row>
    <row r="110" ht="15.7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</row>
    <row r="111" ht="15.7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</row>
    <row r="112" ht="15.7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</row>
    <row r="113" ht="15.7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</row>
    <row r="114" ht="15.7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</row>
    <row r="115" ht="15.7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</row>
    <row r="116" ht="15.7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</row>
    <row r="117" ht="15.7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</row>
    <row r="118" ht="15.7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</row>
    <row r="119" ht="15.7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</row>
    <row r="120" ht="15.7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</row>
    <row r="121" ht="15.7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</row>
    <row r="122" ht="15.7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</row>
    <row r="123" ht="15.7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</row>
    <row r="124" ht="15.7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</row>
    <row r="125" ht="15.7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</row>
    <row r="126" ht="15.7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</row>
    <row r="127" ht="15.7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</row>
    <row r="128" ht="15.7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</row>
    <row r="129" ht="15.7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</row>
    <row r="130" ht="15.7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</row>
    <row r="131" ht="15.7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</row>
    <row r="132" ht="15.7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</row>
    <row r="133" ht="15.7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</row>
    <row r="134" ht="15.7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</row>
    <row r="135" ht="15.7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M135" s="2">
        <v>400831.65</v>
      </c>
      <c r="N135" s="2">
        <v>70979.31</v>
      </c>
    </row>
    <row r="136" ht="15.7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</row>
    <row r="137" ht="15.7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</row>
    <row r="138" ht="15.7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M138" s="2">
        <v>633638.03</v>
      </c>
      <c r="N138" s="2">
        <v>99402.01</v>
      </c>
    </row>
    <row r="139" ht="15.7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</row>
    <row r="140" ht="15.7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</row>
    <row r="141" ht="15.7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</row>
    <row r="142" ht="15.7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</row>
    <row r="143" ht="15.7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</row>
    <row r="144" ht="15.7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</row>
    <row r="145" ht="15.7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</row>
    <row r="146" ht="15.7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</row>
    <row r="147" ht="15.7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</row>
    <row r="148" ht="15.7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</row>
    <row r="149" ht="15.7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</row>
    <row r="150" ht="15.7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</row>
    <row r="151" ht="15.7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</row>
    <row r="152" ht="15.7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</row>
    <row r="153" ht="15.7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</row>
    <row r="154" ht="15.7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</row>
    <row r="155" ht="15.7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</row>
    <row r="156" ht="15.7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</row>
    <row r="157" ht="15.7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</row>
    <row r="158" ht="15.7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</row>
    <row r="159" ht="15.7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</row>
    <row r="160" ht="15.7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</row>
    <row r="161" ht="15.7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</row>
    <row r="162" ht="15.7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</row>
    <row r="163" ht="15.7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</row>
    <row r="164" ht="15.7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K164" s="2">
        <v>0.0</v>
      </c>
      <c r="L164" s="2">
        <v>4.2</v>
      </c>
      <c r="M164" s="2">
        <v>677096.71</v>
      </c>
      <c r="N164" s="2">
        <v>97174.11</v>
      </c>
    </row>
    <row r="165" ht="15.7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</row>
    <row r="166" ht="15.7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</row>
    <row r="167" ht="15.7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</row>
    <row r="168" ht="15.7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</row>
    <row r="169" ht="15.7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</row>
    <row r="170" ht="15.7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</row>
    <row r="171" ht="15.7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</row>
    <row r="172" ht="15.7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</row>
    <row r="173" ht="15.7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</row>
    <row r="174" ht="15.7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</row>
    <row r="175" ht="15.7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</row>
    <row r="176" ht="15.7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</row>
    <row r="177" ht="15.7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</row>
    <row r="178" ht="15.7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</row>
    <row r="179" ht="15.7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</row>
    <row r="180" ht="15.7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</row>
    <row r="181" ht="15.7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</row>
    <row r="182" ht="15.7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</row>
    <row r="183" ht="15.7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</row>
    <row r="184" ht="15.7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</row>
    <row r="185" ht="15.7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</row>
    <row r="186" ht="15.7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</row>
    <row r="187" ht="15.7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</row>
    <row r="188" ht="15.7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</row>
    <row r="189" ht="15.7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</row>
    <row r="190" ht="15.7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</row>
    <row r="191" ht="15.7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</row>
    <row r="192" ht="15.7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</row>
    <row r="193" ht="15.7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</row>
    <row r="194" ht="15.7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</row>
    <row r="195" ht="15.7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</row>
    <row r="196" ht="15.7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</row>
    <row r="197" ht="15.7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M197" s="2">
        <v>449465.06</v>
      </c>
      <c r="N197" s="2">
        <v>65694.78</v>
      </c>
    </row>
    <row r="198" ht="15.7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</row>
    <row r="199" ht="15.7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</row>
    <row r="200" ht="15.7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</row>
    <row r="201" ht="15.7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</row>
    <row r="202" ht="15.7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</row>
    <row r="203" ht="15.7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</row>
    <row r="204" ht="15.7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</row>
    <row r="205" ht="15.7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</row>
    <row r="206" ht="15.7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</row>
    <row r="207" ht="15.7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</row>
    <row r="208" ht="15.7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</row>
    <row r="209" ht="15.7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</row>
    <row r="210" ht="15.7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</row>
    <row r="211" ht="15.7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</row>
    <row r="212" ht="15.7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</row>
    <row r="213" ht="15.7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</row>
    <row r="214" ht="15.7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</row>
    <row r="215" ht="15.7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</row>
    <row r="216" ht="15.7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</row>
    <row r="217" ht="15.7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</row>
    <row r="218" ht="15.7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</row>
    <row r="219" ht="15.7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</row>
    <row r="220" ht="15.7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</row>
    <row r="221" ht="15.7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</row>
    <row r="222" ht="15.7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</row>
    <row r="223" ht="15.7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</row>
    <row r="224" ht="15.7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</row>
    <row r="225" ht="15.7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</row>
    <row r="226" ht="15.7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</row>
    <row r="227" ht="15.7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</row>
    <row r="228" ht="15.7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</row>
    <row r="229" ht="15.7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M229" s="2">
        <v>529598.94</v>
      </c>
      <c r="N229" s="2">
        <v>84334.33</v>
      </c>
    </row>
    <row r="230" ht="15.7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</row>
    <row r="231" ht="15.7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</row>
    <row r="232" ht="15.7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</row>
    <row r="233" ht="15.7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K233" s="2">
        <v>0.0</v>
      </c>
      <c r="L233" s="2">
        <v>3.7</v>
      </c>
      <c r="M233" s="2">
        <v>647512.85</v>
      </c>
      <c r="N233" s="2">
        <v>153835.57</v>
      </c>
    </row>
    <row r="234" ht="15.7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</row>
    <row r="235" ht="15.7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</row>
    <row r="236" ht="15.7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</row>
    <row r="237" ht="15.7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</row>
    <row r="238" ht="15.7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</row>
    <row r="239" ht="15.7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</row>
    <row r="240" ht="15.7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</row>
    <row r="241" ht="15.7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</row>
    <row r="242" ht="15.7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</row>
    <row r="243" ht="15.7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</row>
    <row r="244" ht="15.7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</row>
    <row r="245" ht="15.7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</row>
    <row r="246" ht="15.7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</row>
    <row r="247" ht="15.7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</row>
    <row r="248" ht="15.7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</row>
    <row r="249" ht="15.7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</row>
    <row r="250" ht="15.7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K250" s="2">
        <v>0.0</v>
      </c>
      <c r="L250" s="2">
        <v>3.8</v>
      </c>
      <c r="M250" s="2">
        <v>606783.67</v>
      </c>
      <c r="N250" s="2">
        <v>74515.87</v>
      </c>
    </row>
    <row r="251" ht="15.7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</row>
    <row r="252" ht="15.7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</row>
    <row r="253" ht="15.7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</row>
    <row r="254" ht="15.7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</row>
    <row r="255" ht="15.7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</row>
    <row r="256" ht="15.7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</row>
    <row r="257" ht="15.7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</row>
    <row r="258" ht="15.7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</row>
    <row r="259" ht="15.7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</row>
    <row r="260" ht="15.7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</row>
    <row r="261" ht="15.7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</row>
    <row r="262" ht="15.7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</row>
    <row r="263" ht="15.7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K263" s="2">
        <v>0.0</v>
      </c>
      <c r="L263" s="2">
        <v>4.2</v>
      </c>
      <c r="M263" s="2">
        <v>605751.33</v>
      </c>
      <c r="N263" s="2">
        <v>60685.53</v>
      </c>
    </row>
    <row r="264" ht="15.7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</row>
    <row r="265" ht="15.7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</row>
    <row r="266" ht="15.7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</row>
    <row r="267" ht="15.7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</row>
    <row r="268" ht="15.7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</row>
    <row r="269" ht="15.7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</row>
    <row r="270" ht="15.7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</row>
    <row r="271" ht="15.7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</row>
    <row r="272" ht="15.7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</row>
    <row r="273" ht="15.7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</row>
    <row r="274" ht="15.7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</row>
    <row r="275" ht="15.7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</row>
    <row r="276" ht="15.7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</row>
    <row r="277" ht="15.7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</row>
    <row r="278" ht="15.7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</row>
    <row r="279" ht="15.7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</row>
    <row r="280" ht="15.7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</row>
    <row r="281" ht="15.7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</row>
    <row r="282" ht="15.7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</row>
    <row r="283" ht="15.7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</row>
    <row r="284" ht="15.7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</row>
    <row r="285" ht="15.7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</row>
    <row r="286" ht="15.7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</row>
    <row r="287" ht="15.7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</row>
    <row r="288" ht="15.7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</row>
    <row r="289" ht="15.7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</row>
    <row r="290" ht="15.7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</row>
    <row r="291" ht="15.7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</row>
    <row r="292" ht="15.7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</row>
    <row r="293" ht="15.7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</row>
    <row r="294" ht="15.7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</row>
    <row r="295" ht="15.7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</row>
    <row r="296" ht="15.7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</row>
    <row r="297" ht="15.7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</row>
    <row r="298" ht="15.7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</row>
    <row r="299" ht="15.7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</row>
    <row r="300" ht="15.7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</row>
    <row r="301" ht="15.7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</row>
    <row r="302" ht="15.7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</row>
    <row r="303" ht="15.7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</row>
    <row r="304" ht="15.7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</row>
    <row r="305" ht="15.7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</row>
    <row r="306" ht="15.7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</row>
    <row r="307" ht="15.7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</row>
    <row r="308" ht="15.7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</row>
    <row r="309" ht="15.7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</row>
    <row r="310" ht="15.7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</row>
    <row r="311" ht="15.7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</row>
    <row r="312" ht="15.7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</row>
    <row r="313" ht="15.7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M313" s="2">
        <v>771129.07</v>
      </c>
      <c r="N313" s="2">
        <v>116851.13</v>
      </c>
    </row>
    <row r="314" ht="15.7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</row>
    <row r="315" ht="15.7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M315" s="2">
        <v>688368.46</v>
      </c>
      <c r="N315" s="2">
        <v>93588.42</v>
      </c>
    </row>
    <row r="316" ht="15.7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</row>
    <row r="317" ht="15.7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</row>
    <row r="318" ht="15.7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</row>
    <row r="319" ht="15.7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</row>
    <row r="320" ht="15.7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</row>
    <row r="321" ht="15.7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4" t="s">
        <v>102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  <c r="P2" s="2" t="s">
        <v>103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  <c r="P3" s="2" t="s">
        <v>104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</row>
    <row r="21" ht="15.7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</row>
    <row r="22" ht="15.7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</row>
    <row r="23" ht="15.7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</row>
    <row r="24" ht="15.7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</row>
    <row r="25" ht="15.7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</row>
    <row r="26" ht="15.7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</row>
    <row r="27" ht="15.7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</row>
    <row r="28" ht="15.7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</row>
    <row r="29" ht="15.7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</row>
    <row r="30" ht="15.7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</row>
    <row r="31" ht="15.7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</row>
    <row r="32" ht="15.7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</row>
    <row r="33" ht="15.7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</row>
    <row r="34" ht="15.7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</row>
    <row r="35" ht="15.7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L35" s="2">
        <v>3.9</v>
      </c>
      <c r="M35" s="2">
        <v>799477.76</v>
      </c>
      <c r="N35" s="2">
        <v>164974.41</v>
      </c>
    </row>
    <row r="36" ht="15.7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</row>
    <row r="37" ht="15.7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</row>
    <row r="38" ht="15.7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</row>
    <row r="39" ht="15.7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</row>
    <row r="40" ht="15.7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</row>
    <row r="41" ht="15.7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</row>
    <row r="42" ht="15.7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</row>
    <row r="43" ht="15.7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</row>
    <row r="44" ht="15.7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</row>
    <row r="45" ht="15.7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</row>
    <row r="46" ht="15.7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</row>
    <row r="47" ht="15.7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</row>
    <row r="48" ht="15.7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</row>
    <row r="49" ht="15.7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</row>
    <row r="50" ht="15.7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</row>
    <row r="51" ht="15.7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</row>
    <row r="52" ht="15.7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</row>
    <row r="53" ht="15.7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</row>
    <row r="54" ht="15.7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</row>
    <row r="55" ht="15.7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</row>
    <row r="56" ht="15.7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</row>
    <row r="57" ht="15.7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</row>
    <row r="58" ht="15.7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</row>
    <row r="59" ht="15.7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</row>
    <row r="60" ht="15.7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</row>
    <row r="61" ht="15.7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</row>
    <row r="62" ht="15.7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</row>
    <row r="63" ht="15.7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</row>
    <row r="64" ht="15.7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</row>
    <row r="65" ht="15.7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</row>
    <row r="66" ht="15.7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</row>
    <row r="67" ht="15.7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</row>
    <row r="68" ht="15.7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</row>
    <row r="69" ht="15.7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</row>
    <row r="70" ht="15.7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</row>
    <row r="71" ht="15.7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</row>
    <row r="72" ht="15.7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</row>
    <row r="73" ht="15.7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J73" s="2">
        <v>3.365</v>
      </c>
      <c r="K73" s="2">
        <v>0.0</v>
      </c>
      <c r="L73" s="2">
        <v>3.5</v>
      </c>
      <c r="M73" s="2">
        <v>674774.09</v>
      </c>
      <c r="N73" s="2">
        <v>141917.59</v>
      </c>
    </row>
    <row r="74" ht="15.7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</row>
    <row r="75" ht="15.7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</row>
    <row r="76" ht="15.7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</row>
    <row r="77" ht="15.7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</row>
    <row r="78" ht="15.7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</row>
    <row r="79" ht="15.7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</row>
    <row r="80" ht="15.7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</row>
    <row r="81" ht="15.7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</row>
    <row r="82" ht="15.7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</row>
    <row r="83" ht="15.7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</row>
    <row r="84" ht="15.7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</row>
    <row r="85" ht="15.7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</row>
    <row r="86" ht="15.7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</row>
    <row r="87" ht="15.7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L87" s="2">
        <v>3.9</v>
      </c>
      <c r="M87" s="2">
        <v>611766.72</v>
      </c>
      <c r="N87" s="2">
        <v>88275.61</v>
      </c>
    </row>
    <row r="88" ht="15.7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</row>
    <row r="89" ht="15.7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</row>
    <row r="90" ht="15.7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</row>
    <row r="91" ht="15.7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</row>
    <row r="92" ht="15.7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</row>
    <row r="93" ht="15.7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</row>
    <row r="94" ht="15.7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</row>
    <row r="95" ht="15.7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</row>
    <row r="96" ht="15.7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</row>
    <row r="97" ht="15.7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</row>
    <row r="98" ht="15.7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</row>
    <row r="99" ht="15.7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</row>
    <row r="100" ht="15.7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J100" s="2">
        <v>3.365</v>
      </c>
      <c r="K100" s="2">
        <v>0.0</v>
      </c>
      <c r="L100" s="2">
        <v>4.3</v>
      </c>
      <c r="M100" s="2">
        <v>605775.33</v>
      </c>
      <c r="N100" s="2">
        <v>107194.6</v>
      </c>
    </row>
    <row r="101" ht="15.7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</row>
    <row r="102" ht="15.7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</row>
    <row r="103" ht="15.7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</row>
    <row r="104" ht="15.7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</row>
    <row r="105" ht="15.7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</row>
    <row r="106" ht="15.7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</row>
    <row r="107" ht="15.7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</row>
    <row r="108" ht="15.7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</row>
    <row r="109" ht="15.7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</row>
    <row r="110" ht="15.7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</row>
    <row r="111" ht="15.7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</row>
    <row r="112" ht="15.7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</row>
    <row r="113" ht="15.7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</row>
    <row r="114" ht="15.7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</row>
    <row r="115" ht="15.7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</row>
    <row r="116" ht="15.7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</row>
    <row r="117" ht="15.7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</row>
    <row r="118" ht="15.7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</row>
    <row r="119" ht="15.7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</row>
    <row r="120" ht="15.7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</row>
    <row r="121" ht="15.7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</row>
    <row r="122" ht="15.7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</row>
    <row r="123" ht="15.7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</row>
    <row r="124" ht="15.7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</row>
    <row r="125" ht="15.7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</row>
    <row r="126" ht="15.7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</row>
    <row r="127" ht="15.7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</row>
    <row r="128" ht="15.7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</row>
    <row r="129" ht="15.7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</row>
    <row r="130" ht="15.7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</row>
    <row r="131" ht="15.7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</row>
    <row r="132" ht="15.7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</row>
    <row r="133" ht="15.7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</row>
    <row r="134" ht="15.7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</row>
    <row r="135" ht="15.7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L135" s="2">
        <v>3.9</v>
      </c>
      <c r="M135" s="2">
        <v>400831.65</v>
      </c>
      <c r="N135" s="2">
        <v>70979.31</v>
      </c>
    </row>
    <row r="136" ht="15.7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</row>
    <row r="137" ht="15.7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</row>
    <row r="138" ht="15.7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L138" s="2">
        <v>3.9</v>
      </c>
      <c r="M138" s="2">
        <v>633638.03</v>
      </c>
      <c r="N138" s="2">
        <v>99402.01</v>
      </c>
    </row>
    <row r="139" ht="15.7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</row>
    <row r="140" ht="15.7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</row>
    <row r="141" ht="15.7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</row>
    <row r="142" ht="15.7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</row>
    <row r="143" ht="15.7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</row>
    <row r="144" ht="15.7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</row>
    <row r="145" ht="15.7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</row>
    <row r="146" ht="15.7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</row>
    <row r="147" ht="15.7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</row>
    <row r="148" ht="15.7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</row>
    <row r="149" ht="15.7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</row>
    <row r="150" ht="15.7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</row>
    <row r="151" ht="15.7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</row>
    <row r="152" ht="15.7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</row>
    <row r="153" ht="15.7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</row>
    <row r="154" ht="15.7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</row>
    <row r="155" ht="15.7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</row>
    <row r="156" ht="15.7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</row>
    <row r="157" ht="15.7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</row>
    <row r="158" ht="15.7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</row>
    <row r="159" ht="15.7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</row>
    <row r="160" ht="15.7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</row>
    <row r="161" ht="15.7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</row>
    <row r="162" ht="15.7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</row>
    <row r="163" ht="15.7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</row>
    <row r="164" ht="15.7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J164" s="2">
        <v>3.365</v>
      </c>
      <c r="K164" s="2">
        <v>0.0</v>
      </c>
      <c r="L164" s="2">
        <v>4.2</v>
      </c>
      <c r="M164" s="2">
        <v>677096.71</v>
      </c>
      <c r="N164" s="2">
        <v>97174.11</v>
      </c>
    </row>
    <row r="165" ht="15.7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</row>
    <row r="166" ht="15.7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</row>
    <row r="167" ht="15.7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</row>
    <row r="168" ht="15.7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</row>
    <row r="169" ht="15.7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</row>
    <row r="170" ht="15.7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</row>
    <row r="171" ht="15.7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</row>
    <row r="172" ht="15.7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</row>
    <row r="173" ht="15.7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</row>
    <row r="174" ht="15.7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</row>
    <row r="175" ht="15.7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</row>
    <row r="176" ht="15.7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</row>
    <row r="177" ht="15.7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</row>
    <row r="178" ht="15.7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</row>
    <row r="179" ht="15.7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</row>
    <row r="180" ht="15.7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</row>
    <row r="181" ht="15.7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</row>
    <row r="182" ht="15.7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</row>
    <row r="183" ht="15.7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</row>
    <row r="184" ht="15.7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</row>
    <row r="185" ht="15.7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</row>
    <row r="186" ht="15.7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</row>
    <row r="187" ht="15.7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</row>
    <row r="188" ht="15.7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</row>
    <row r="189" ht="15.7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</row>
    <row r="190" ht="15.7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</row>
    <row r="191" ht="15.7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</row>
    <row r="192" ht="15.7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</row>
    <row r="193" ht="15.7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</row>
    <row r="194" ht="15.7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</row>
    <row r="195" ht="15.7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</row>
    <row r="196" ht="15.7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</row>
    <row r="197" ht="15.7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L197" s="2">
        <v>3.9</v>
      </c>
      <c r="M197" s="2">
        <v>449465.06</v>
      </c>
      <c r="N197" s="2">
        <v>65694.78</v>
      </c>
    </row>
    <row r="198" ht="15.7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</row>
    <row r="199" ht="15.7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</row>
    <row r="200" ht="15.7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</row>
    <row r="201" ht="15.7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</row>
    <row r="202" ht="15.7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</row>
    <row r="203" ht="15.7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</row>
    <row r="204" ht="15.7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</row>
    <row r="205" ht="15.7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</row>
    <row r="206" ht="15.7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</row>
    <row r="207" ht="15.7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</row>
    <row r="208" ht="15.7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</row>
    <row r="209" ht="15.7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</row>
    <row r="210" ht="15.7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</row>
    <row r="211" ht="15.7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</row>
    <row r="212" ht="15.7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</row>
    <row r="213" ht="15.7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</row>
    <row r="214" ht="15.7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</row>
    <row r="215" ht="15.7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</row>
    <row r="216" ht="15.7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</row>
    <row r="217" ht="15.7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</row>
    <row r="218" ht="15.7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</row>
    <row r="219" ht="15.7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</row>
    <row r="220" ht="15.7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</row>
    <row r="221" ht="15.7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</row>
    <row r="222" ht="15.7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</row>
    <row r="223" ht="15.7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</row>
    <row r="224" ht="15.7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</row>
    <row r="225" ht="15.7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</row>
    <row r="226" ht="15.7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</row>
    <row r="227" ht="15.7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</row>
    <row r="228" ht="15.7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</row>
    <row r="229" ht="15.7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L229" s="2">
        <v>3.9</v>
      </c>
      <c r="M229" s="2">
        <v>529598.94</v>
      </c>
      <c r="N229" s="2">
        <v>84334.33</v>
      </c>
    </row>
    <row r="230" ht="15.7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</row>
    <row r="231" ht="15.7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</row>
    <row r="232" ht="15.7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</row>
    <row r="233" ht="15.7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J233" s="2">
        <v>3.365</v>
      </c>
      <c r="K233" s="2">
        <v>0.0</v>
      </c>
      <c r="L233" s="2">
        <v>3.7</v>
      </c>
      <c r="M233" s="2">
        <v>647512.85</v>
      </c>
      <c r="N233" s="2">
        <v>153835.57</v>
      </c>
    </row>
    <row r="234" ht="15.7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</row>
    <row r="235" ht="15.7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</row>
    <row r="236" ht="15.7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</row>
    <row r="237" ht="15.7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</row>
    <row r="238" ht="15.7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</row>
    <row r="239" ht="15.7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</row>
    <row r="240" ht="15.7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</row>
    <row r="241" ht="15.7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</row>
    <row r="242" ht="15.7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</row>
    <row r="243" ht="15.7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</row>
    <row r="244" ht="15.7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</row>
    <row r="245" ht="15.7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</row>
    <row r="246" ht="15.7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</row>
    <row r="247" ht="15.7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</row>
    <row r="248" ht="15.7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</row>
    <row r="249" ht="15.7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</row>
    <row r="250" ht="15.7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J250" s="2">
        <v>3.365</v>
      </c>
      <c r="K250" s="2">
        <v>0.0</v>
      </c>
      <c r="L250" s="2">
        <v>3.8</v>
      </c>
      <c r="M250" s="2">
        <v>606783.67</v>
      </c>
      <c r="N250" s="2">
        <v>74515.87</v>
      </c>
    </row>
    <row r="251" ht="15.7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</row>
    <row r="252" ht="15.7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</row>
    <row r="253" ht="15.7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</row>
    <row r="254" ht="15.7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</row>
    <row r="255" ht="15.7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</row>
    <row r="256" ht="15.7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</row>
    <row r="257" ht="15.7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</row>
    <row r="258" ht="15.7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</row>
    <row r="259" ht="15.7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</row>
    <row r="260" ht="15.7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</row>
    <row r="261" ht="15.7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</row>
    <row r="262" ht="15.7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</row>
    <row r="263" ht="15.7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J263" s="2">
        <v>3.365</v>
      </c>
      <c r="K263" s="2">
        <v>0.0</v>
      </c>
      <c r="L263" s="2">
        <v>4.2</v>
      </c>
      <c r="M263" s="2">
        <v>605751.33</v>
      </c>
      <c r="N263" s="2">
        <v>60685.53</v>
      </c>
    </row>
    <row r="264" ht="15.7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</row>
    <row r="265" ht="15.7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</row>
    <row r="266" ht="15.7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</row>
    <row r="267" ht="15.7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</row>
    <row r="268" ht="15.7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</row>
    <row r="269" ht="15.7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</row>
    <row r="270" ht="15.7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</row>
    <row r="271" ht="15.7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</row>
    <row r="272" ht="15.7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</row>
    <row r="273" ht="15.7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</row>
    <row r="274" ht="15.7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</row>
    <row r="275" ht="15.7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</row>
    <row r="276" ht="15.7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</row>
    <row r="277" ht="15.7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</row>
    <row r="278" ht="15.7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</row>
    <row r="279" ht="15.7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</row>
    <row r="280" ht="15.7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</row>
    <row r="281" ht="15.7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</row>
    <row r="282" ht="15.7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</row>
    <row r="283" ht="15.7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</row>
    <row r="284" ht="15.7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</row>
    <row r="285" ht="15.7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</row>
    <row r="286" ht="15.7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</row>
    <row r="287" ht="15.7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</row>
    <row r="288" ht="15.7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</row>
    <row r="289" ht="15.7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</row>
    <row r="290" ht="15.7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</row>
    <row r="291" ht="15.7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</row>
    <row r="292" ht="15.7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</row>
    <row r="293" ht="15.7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</row>
    <row r="294" ht="15.7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</row>
    <row r="295" ht="15.7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</row>
    <row r="296" ht="15.7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</row>
    <row r="297" ht="15.7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</row>
    <row r="298" ht="15.7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</row>
    <row r="299" ht="15.7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</row>
    <row r="300" ht="15.7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</row>
    <row r="301" ht="15.7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</row>
    <row r="302" ht="15.7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</row>
    <row r="303" ht="15.7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</row>
    <row r="304" ht="15.7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</row>
    <row r="305" ht="15.7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</row>
    <row r="306" ht="15.7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</row>
    <row r="307" ht="15.7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</row>
    <row r="308" ht="15.7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</row>
    <row r="309" ht="15.7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</row>
    <row r="310" ht="15.7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</row>
    <row r="311" ht="15.7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</row>
    <row r="312" ht="15.7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</row>
    <row r="313" ht="15.7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L313" s="2">
        <v>3.9</v>
      </c>
      <c r="M313" s="2">
        <v>771129.07</v>
      </c>
      <c r="N313" s="2">
        <v>116851.13</v>
      </c>
    </row>
    <row r="314" ht="15.7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</row>
    <row r="315" ht="15.7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L315" s="2">
        <v>3.9</v>
      </c>
      <c r="M315" s="2">
        <v>688368.46</v>
      </c>
      <c r="N315" s="2">
        <v>93588.42</v>
      </c>
    </row>
    <row r="316" ht="15.7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</row>
    <row r="317" ht="15.7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</row>
    <row r="318" ht="15.7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</row>
    <row r="319" ht="15.7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</row>
    <row r="320" ht="15.7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</row>
    <row r="321" ht="15.7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>
      <c r="A1" s="1" t="s">
        <v>0</v>
      </c>
      <c r="B1" s="1" t="s">
        <v>3</v>
      </c>
      <c r="C1" s="1" t="s">
        <v>105</v>
      </c>
      <c r="D1" s="1" t="s">
        <v>106</v>
      </c>
      <c r="E1" s="1" t="s">
        <v>107</v>
      </c>
      <c r="F1" s="1" t="s">
        <v>108</v>
      </c>
      <c r="H1" s="5" t="s">
        <v>109</v>
      </c>
    </row>
    <row r="2">
      <c r="A2" s="2" t="s">
        <v>14</v>
      </c>
      <c r="B2" s="2" t="s">
        <v>16</v>
      </c>
      <c r="C2" s="2">
        <v>0.0</v>
      </c>
      <c r="D2" s="2">
        <v>0.0</v>
      </c>
      <c r="E2" s="2">
        <v>0.0</v>
      </c>
      <c r="F2" s="2" t="s">
        <v>110</v>
      </c>
      <c r="H2" s="2" t="s">
        <v>111</v>
      </c>
    </row>
    <row r="3">
      <c r="A3" s="2" t="s">
        <v>14</v>
      </c>
      <c r="B3" s="2" t="s">
        <v>16</v>
      </c>
      <c r="C3" s="2">
        <v>0.0</v>
      </c>
      <c r="D3" s="2">
        <v>0.0</v>
      </c>
      <c r="E3" s="2">
        <v>0.0</v>
      </c>
      <c r="F3" s="2" t="s">
        <v>110</v>
      </c>
      <c r="H3" s="2" t="s">
        <v>112</v>
      </c>
    </row>
    <row r="4">
      <c r="A4" s="2" t="s">
        <v>14</v>
      </c>
      <c r="B4" s="2" t="s">
        <v>16</v>
      </c>
      <c r="C4" s="2">
        <v>0.0</v>
      </c>
      <c r="D4" s="2">
        <v>0.0</v>
      </c>
      <c r="E4" s="2">
        <v>0.0</v>
      </c>
      <c r="F4" s="2" t="s">
        <v>110</v>
      </c>
      <c r="H4" s="2" t="s">
        <v>113</v>
      </c>
    </row>
    <row r="5">
      <c r="A5" s="2" t="s">
        <v>14</v>
      </c>
      <c r="B5" s="2" t="s">
        <v>16</v>
      </c>
      <c r="C5" s="2">
        <v>0.0</v>
      </c>
      <c r="D5" s="2">
        <v>0.0</v>
      </c>
      <c r="E5" s="2">
        <v>0.0</v>
      </c>
      <c r="F5" s="2" t="s">
        <v>110</v>
      </c>
      <c r="H5" s="2" t="s">
        <v>114</v>
      </c>
    </row>
    <row r="6">
      <c r="A6" s="2" t="s">
        <v>17</v>
      </c>
      <c r="B6" s="2" t="s">
        <v>18</v>
      </c>
      <c r="C6" s="2">
        <v>0.0</v>
      </c>
      <c r="D6" s="2">
        <v>1.0</v>
      </c>
      <c r="E6" s="2">
        <v>0.0</v>
      </c>
      <c r="H6" s="2" t="s">
        <v>115</v>
      </c>
    </row>
    <row r="7">
      <c r="A7" s="2" t="s">
        <v>17</v>
      </c>
      <c r="B7" s="2" t="s">
        <v>18</v>
      </c>
      <c r="C7" s="2">
        <v>0.0</v>
      </c>
      <c r="D7" s="2">
        <v>1.0</v>
      </c>
      <c r="E7" s="2">
        <v>0.0</v>
      </c>
    </row>
    <row r="8">
      <c r="A8" s="2" t="s">
        <v>17</v>
      </c>
      <c r="B8" s="2" t="s">
        <v>18</v>
      </c>
      <c r="C8" s="2">
        <v>0.0</v>
      </c>
      <c r="D8" s="2">
        <v>1.0</v>
      </c>
      <c r="E8" s="2">
        <v>0.0</v>
      </c>
    </row>
    <row r="9">
      <c r="A9" s="2" t="s">
        <v>17</v>
      </c>
      <c r="B9" s="2" t="s">
        <v>18</v>
      </c>
      <c r="C9" s="2">
        <v>0.0</v>
      </c>
      <c r="D9" s="2">
        <v>1.0</v>
      </c>
      <c r="E9" s="2">
        <v>0.0</v>
      </c>
    </row>
    <row r="10">
      <c r="A10" s="2" t="s">
        <v>19</v>
      </c>
      <c r="B10" s="2" t="s">
        <v>21</v>
      </c>
      <c r="C10" s="2">
        <v>1.0</v>
      </c>
      <c r="D10" s="2">
        <v>0.0</v>
      </c>
      <c r="E10" s="2">
        <v>0.0</v>
      </c>
    </row>
    <row r="11">
      <c r="A11" s="2" t="s">
        <v>19</v>
      </c>
      <c r="B11" s="2" t="s">
        <v>21</v>
      </c>
      <c r="C11" s="2">
        <v>1.0</v>
      </c>
      <c r="D11" s="2">
        <v>0.0</v>
      </c>
      <c r="E11" s="2">
        <v>0.0</v>
      </c>
    </row>
    <row r="12">
      <c r="A12" s="2" t="s">
        <v>19</v>
      </c>
      <c r="B12" s="2" t="s">
        <v>21</v>
      </c>
      <c r="C12" s="2">
        <v>1.0</v>
      </c>
      <c r="D12" s="2">
        <v>0.0</v>
      </c>
      <c r="E12" s="2">
        <v>0.0</v>
      </c>
    </row>
    <row r="13">
      <c r="A13" s="2" t="s">
        <v>19</v>
      </c>
      <c r="B13" s="2" t="s">
        <v>21</v>
      </c>
      <c r="C13" s="2">
        <v>1.0</v>
      </c>
      <c r="D13" s="2">
        <v>0.0</v>
      </c>
      <c r="E13" s="2">
        <v>0.0</v>
      </c>
    </row>
    <row r="14">
      <c r="A14" s="2" t="s">
        <v>22</v>
      </c>
      <c r="B14" s="2" t="s">
        <v>16</v>
      </c>
      <c r="C14" s="2">
        <v>0.0</v>
      </c>
      <c r="D14" s="2">
        <v>0.0</v>
      </c>
      <c r="E14" s="2">
        <v>0.0</v>
      </c>
      <c r="F14" s="2" t="s">
        <v>110</v>
      </c>
    </row>
    <row r="15">
      <c r="A15" s="2" t="s">
        <v>22</v>
      </c>
      <c r="B15" s="2" t="s">
        <v>16</v>
      </c>
      <c r="C15" s="2">
        <v>0.0</v>
      </c>
      <c r="D15" s="2">
        <v>0.0</v>
      </c>
      <c r="E15" s="2">
        <v>0.0</v>
      </c>
      <c r="F15" s="2" t="s">
        <v>110</v>
      </c>
    </row>
    <row r="16">
      <c r="A16" s="2" t="s">
        <v>22</v>
      </c>
      <c r="B16" s="2" t="s">
        <v>16</v>
      </c>
      <c r="C16" s="2">
        <v>0.0</v>
      </c>
      <c r="D16" s="2">
        <v>0.0</v>
      </c>
      <c r="E16" s="2">
        <v>0.0</v>
      </c>
      <c r="F16" s="2" t="s">
        <v>110</v>
      </c>
    </row>
    <row r="17">
      <c r="A17" s="2" t="s">
        <v>22</v>
      </c>
      <c r="B17" s="2" t="s">
        <v>16</v>
      </c>
      <c r="C17" s="2">
        <v>0.0</v>
      </c>
      <c r="D17" s="2">
        <v>0.0</v>
      </c>
      <c r="E17" s="2">
        <v>0.0</v>
      </c>
      <c r="F17" s="2" t="s">
        <v>110</v>
      </c>
    </row>
    <row r="18">
      <c r="A18" s="2" t="s">
        <v>23</v>
      </c>
      <c r="B18" s="2" t="s">
        <v>16</v>
      </c>
      <c r="C18" s="2">
        <v>0.0</v>
      </c>
      <c r="D18" s="2">
        <v>0.0</v>
      </c>
      <c r="E18" s="2">
        <v>0.0</v>
      </c>
      <c r="F18" s="2" t="s">
        <v>110</v>
      </c>
    </row>
    <row r="19">
      <c r="A19" s="2" t="s">
        <v>23</v>
      </c>
      <c r="B19" s="2" t="s">
        <v>16</v>
      </c>
      <c r="C19" s="2">
        <v>0.0</v>
      </c>
      <c r="D19" s="2">
        <v>0.0</v>
      </c>
      <c r="E19" s="2">
        <v>0.0</v>
      </c>
      <c r="F19" s="2" t="s">
        <v>110</v>
      </c>
    </row>
    <row r="20">
      <c r="A20" s="2" t="s">
        <v>23</v>
      </c>
      <c r="B20" s="2" t="s">
        <v>16</v>
      </c>
      <c r="C20" s="2">
        <v>0.0</v>
      </c>
      <c r="D20" s="2">
        <v>0.0</v>
      </c>
      <c r="E20" s="2">
        <v>0.0</v>
      </c>
      <c r="F20" s="2" t="s">
        <v>110</v>
      </c>
    </row>
    <row r="21" ht="15.75" customHeight="1">
      <c r="A21" s="2" t="s">
        <v>23</v>
      </c>
      <c r="B21" s="2" t="s">
        <v>16</v>
      </c>
      <c r="C21" s="2">
        <v>0.0</v>
      </c>
      <c r="D21" s="2">
        <v>0.0</v>
      </c>
      <c r="E21" s="2">
        <v>0.0</v>
      </c>
      <c r="F21" s="2" t="s">
        <v>110</v>
      </c>
    </row>
    <row r="22" ht="15.75" customHeight="1">
      <c r="A22" s="2" t="s">
        <v>25</v>
      </c>
      <c r="B22" s="2" t="s">
        <v>16</v>
      </c>
      <c r="C22" s="2">
        <v>0.0</v>
      </c>
      <c r="D22" s="2">
        <v>0.0</v>
      </c>
      <c r="E22" s="2">
        <v>0.0</v>
      </c>
      <c r="F22" s="2" t="s">
        <v>110</v>
      </c>
    </row>
    <row r="23" ht="15.75" customHeight="1">
      <c r="A23" s="2" t="s">
        <v>25</v>
      </c>
      <c r="B23" s="2" t="s">
        <v>16</v>
      </c>
      <c r="C23" s="2">
        <v>0.0</v>
      </c>
      <c r="D23" s="2">
        <v>0.0</v>
      </c>
      <c r="E23" s="2">
        <v>0.0</v>
      </c>
      <c r="F23" s="2" t="s">
        <v>110</v>
      </c>
    </row>
    <row r="24" ht="15.75" customHeight="1">
      <c r="A24" s="2" t="s">
        <v>25</v>
      </c>
      <c r="B24" s="2" t="s">
        <v>16</v>
      </c>
      <c r="C24" s="2">
        <v>0.0</v>
      </c>
      <c r="D24" s="2">
        <v>0.0</v>
      </c>
      <c r="E24" s="2">
        <v>0.0</v>
      </c>
      <c r="F24" s="2" t="s">
        <v>110</v>
      </c>
    </row>
    <row r="25" ht="15.75" customHeight="1">
      <c r="A25" s="2" t="s">
        <v>25</v>
      </c>
      <c r="B25" s="2" t="s">
        <v>16</v>
      </c>
      <c r="C25" s="2">
        <v>0.0</v>
      </c>
      <c r="D25" s="2">
        <v>0.0</v>
      </c>
      <c r="E25" s="2">
        <v>0.0</v>
      </c>
      <c r="F25" s="2" t="s">
        <v>110</v>
      </c>
    </row>
    <row r="26" ht="15.75" customHeight="1">
      <c r="A26" s="2" t="s">
        <v>26</v>
      </c>
      <c r="B26" s="2" t="s">
        <v>28</v>
      </c>
      <c r="C26" s="2">
        <v>0.0</v>
      </c>
      <c r="D26" s="2">
        <v>0.0</v>
      </c>
      <c r="E26" s="2">
        <v>1.0</v>
      </c>
    </row>
    <row r="27" ht="15.75" customHeight="1">
      <c r="A27" s="2" t="s">
        <v>26</v>
      </c>
      <c r="B27" s="2" t="s">
        <v>28</v>
      </c>
      <c r="C27" s="2">
        <v>0.0</v>
      </c>
      <c r="D27" s="2">
        <v>0.0</v>
      </c>
      <c r="E27" s="2">
        <v>1.0</v>
      </c>
    </row>
    <row r="28" ht="15.75" customHeight="1">
      <c r="A28" s="2" t="s">
        <v>26</v>
      </c>
      <c r="B28" s="2" t="s">
        <v>28</v>
      </c>
      <c r="C28" s="2">
        <v>0.0</v>
      </c>
      <c r="D28" s="2">
        <v>0.0</v>
      </c>
      <c r="E28" s="2">
        <v>1.0</v>
      </c>
    </row>
    <row r="29" ht="15.75" customHeight="1">
      <c r="A29" s="2" t="s">
        <v>26</v>
      </c>
      <c r="B29" s="2" t="s">
        <v>28</v>
      </c>
      <c r="C29" s="2">
        <v>0.0</v>
      </c>
      <c r="D29" s="2">
        <v>0.0</v>
      </c>
      <c r="E29" s="2">
        <v>1.0</v>
      </c>
    </row>
    <row r="30" ht="15.75" customHeight="1">
      <c r="A30" s="2" t="s">
        <v>29</v>
      </c>
      <c r="B30" s="2" t="s">
        <v>16</v>
      </c>
      <c r="C30" s="2">
        <v>0.0</v>
      </c>
      <c r="D30" s="2">
        <v>0.0</v>
      </c>
      <c r="E30" s="2">
        <v>0.0</v>
      </c>
      <c r="F30" s="2" t="s">
        <v>110</v>
      </c>
    </row>
    <row r="31" ht="15.75" customHeight="1">
      <c r="A31" s="2" t="s">
        <v>29</v>
      </c>
      <c r="B31" s="2" t="s">
        <v>16</v>
      </c>
      <c r="C31" s="2">
        <v>0.0</v>
      </c>
      <c r="D31" s="2">
        <v>0.0</v>
      </c>
      <c r="E31" s="2">
        <v>0.0</v>
      </c>
      <c r="F31" s="2" t="s">
        <v>110</v>
      </c>
    </row>
    <row r="32" ht="15.75" customHeight="1">
      <c r="A32" s="2" t="s">
        <v>29</v>
      </c>
      <c r="B32" s="2" t="s">
        <v>16</v>
      </c>
      <c r="C32" s="2">
        <v>0.0</v>
      </c>
      <c r="D32" s="2">
        <v>0.0</v>
      </c>
      <c r="E32" s="2">
        <v>0.0</v>
      </c>
      <c r="F32" s="2" t="s">
        <v>110</v>
      </c>
    </row>
    <row r="33" ht="15.75" customHeight="1">
      <c r="A33" s="2" t="s">
        <v>29</v>
      </c>
      <c r="B33" s="2" t="s">
        <v>16</v>
      </c>
      <c r="C33" s="2">
        <v>0.0</v>
      </c>
      <c r="D33" s="2">
        <v>0.0</v>
      </c>
      <c r="E33" s="2">
        <v>0.0</v>
      </c>
      <c r="F33" s="2" t="s">
        <v>110</v>
      </c>
    </row>
    <row r="34" ht="15.75" customHeight="1">
      <c r="A34" s="2" t="s">
        <v>30</v>
      </c>
      <c r="B34" s="2" t="s">
        <v>16</v>
      </c>
      <c r="C34" s="2">
        <v>0.0</v>
      </c>
      <c r="D34" s="2">
        <v>0.0</v>
      </c>
      <c r="E34" s="2">
        <v>0.0</v>
      </c>
      <c r="F34" s="2" t="s">
        <v>110</v>
      </c>
    </row>
    <row r="35" ht="15.75" customHeight="1">
      <c r="A35" s="2" t="s">
        <v>30</v>
      </c>
      <c r="B35" s="2" t="s">
        <v>16</v>
      </c>
      <c r="C35" s="2">
        <v>0.0</v>
      </c>
      <c r="D35" s="2">
        <v>0.0</v>
      </c>
      <c r="E35" s="2">
        <v>0.0</v>
      </c>
      <c r="F35" s="2" t="s">
        <v>110</v>
      </c>
    </row>
    <row r="36" ht="15.75" customHeight="1">
      <c r="A36" s="2" t="s">
        <v>30</v>
      </c>
      <c r="B36" s="2" t="s">
        <v>16</v>
      </c>
      <c r="C36" s="2">
        <v>0.0</v>
      </c>
      <c r="D36" s="2">
        <v>0.0</v>
      </c>
      <c r="E36" s="2">
        <v>0.0</v>
      </c>
      <c r="F36" s="2" t="s">
        <v>110</v>
      </c>
    </row>
    <row r="37" ht="15.75" customHeight="1">
      <c r="A37" s="2" t="s">
        <v>30</v>
      </c>
      <c r="B37" s="2" t="s">
        <v>16</v>
      </c>
      <c r="C37" s="2">
        <v>0.0</v>
      </c>
      <c r="D37" s="2">
        <v>0.0</v>
      </c>
      <c r="E37" s="2">
        <v>0.0</v>
      </c>
      <c r="F37" s="2" t="s">
        <v>110</v>
      </c>
    </row>
    <row r="38" ht="15.75" customHeight="1">
      <c r="A38" s="2" t="s">
        <v>31</v>
      </c>
      <c r="B38" s="2" t="s">
        <v>28</v>
      </c>
      <c r="C38" s="2">
        <v>0.0</v>
      </c>
      <c r="D38" s="2">
        <v>0.0</v>
      </c>
      <c r="E38" s="2">
        <v>1.0</v>
      </c>
    </row>
    <row r="39" ht="15.75" customHeight="1">
      <c r="A39" s="2" t="s">
        <v>31</v>
      </c>
      <c r="B39" s="2" t="s">
        <v>28</v>
      </c>
      <c r="C39" s="2">
        <v>0.0</v>
      </c>
      <c r="D39" s="2">
        <v>0.0</v>
      </c>
      <c r="E39" s="2">
        <v>1.0</v>
      </c>
    </row>
    <row r="40" ht="15.75" customHeight="1">
      <c r="A40" s="2" t="s">
        <v>31</v>
      </c>
      <c r="B40" s="2" t="s">
        <v>28</v>
      </c>
      <c r="C40" s="2">
        <v>0.0</v>
      </c>
      <c r="D40" s="2">
        <v>0.0</v>
      </c>
      <c r="E40" s="2">
        <v>1.0</v>
      </c>
    </row>
    <row r="41" ht="15.75" customHeight="1">
      <c r="A41" s="2" t="s">
        <v>31</v>
      </c>
      <c r="B41" s="2" t="s">
        <v>28</v>
      </c>
      <c r="C41" s="2">
        <v>0.0</v>
      </c>
      <c r="D41" s="2">
        <v>0.0</v>
      </c>
      <c r="E41" s="2">
        <v>1.0</v>
      </c>
    </row>
    <row r="42" ht="15.75" customHeight="1">
      <c r="A42" s="2" t="s">
        <v>32</v>
      </c>
      <c r="B42" s="2" t="s">
        <v>28</v>
      </c>
      <c r="C42" s="2">
        <v>0.0</v>
      </c>
      <c r="D42" s="2">
        <v>0.0</v>
      </c>
      <c r="E42" s="2">
        <v>1.0</v>
      </c>
    </row>
    <row r="43" ht="15.75" customHeight="1">
      <c r="A43" s="2" t="s">
        <v>32</v>
      </c>
      <c r="B43" s="2" t="s">
        <v>28</v>
      </c>
      <c r="C43" s="2">
        <v>0.0</v>
      </c>
      <c r="D43" s="2">
        <v>0.0</v>
      </c>
      <c r="E43" s="2">
        <v>1.0</v>
      </c>
    </row>
    <row r="44" ht="15.75" customHeight="1">
      <c r="A44" s="2" t="s">
        <v>32</v>
      </c>
      <c r="B44" s="2" t="s">
        <v>28</v>
      </c>
      <c r="C44" s="2">
        <v>0.0</v>
      </c>
      <c r="D44" s="2">
        <v>0.0</v>
      </c>
      <c r="E44" s="2">
        <v>1.0</v>
      </c>
    </row>
    <row r="45" ht="15.75" customHeight="1">
      <c r="A45" s="2" t="s">
        <v>32</v>
      </c>
      <c r="B45" s="2" t="s">
        <v>28</v>
      </c>
      <c r="C45" s="2">
        <v>0.0</v>
      </c>
      <c r="D45" s="2">
        <v>0.0</v>
      </c>
      <c r="E45" s="2">
        <v>1.0</v>
      </c>
    </row>
    <row r="46" ht="15.75" customHeight="1">
      <c r="A46" s="2" t="s">
        <v>33</v>
      </c>
      <c r="B46" s="2" t="s">
        <v>16</v>
      </c>
      <c r="C46" s="2">
        <v>0.0</v>
      </c>
      <c r="D46" s="2">
        <v>0.0</v>
      </c>
      <c r="E46" s="2">
        <v>0.0</v>
      </c>
      <c r="F46" s="2" t="s">
        <v>110</v>
      </c>
    </row>
    <row r="47" ht="15.75" customHeight="1">
      <c r="A47" s="2" t="s">
        <v>33</v>
      </c>
      <c r="B47" s="2" t="s">
        <v>16</v>
      </c>
      <c r="C47" s="2">
        <v>0.0</v>
      </c>
      <c r="D47" s="2">
        <v>0.0</v>
      </c>
      <c r="E47" s="2">
        <v>0.0</v>
      </c>
      <c r="F47" s="2" t="s">
        <v>110</v>
      </c>
    </row>
    <row r="48" ht="15.75" customHeight="1">
      <c r="A48" s="2" t="s">
        <v>33</v>
      </c>
      <c r="B48" s="2" t="s">
        <v>16</v>
      </c>
      <c r="C48" s="2">
        <v>0.0</v>
      </c>
      <c r="D48" s="2">
        <v>0.0</v>
      </c>
      <c r="E48" s="2">
        <v>0.0</v>
      </c>
      <c r="F48" s="2" t="s">
        <v>110</v>
      </c>
    </row>
    <row r="49" ht="15.75" customHeight="1">
      <c r="A49" s="2" t="s">
        <v>33</v>
      </c>
      <c r="B49" s="2" t="s">
        <v>16</v>
      </c>
      <c r="C49" s="2">
        <v>0.0</v>
      </c>
      <c r="D49" s="2">
        <v>0.0</v>
      </c>
      <c r="E49" s="2">
        <v>0.0</v>
      </c>
      <c r="F49" s="2" t="s">
        <v>110</v>
      </c>
    </row>
    <row r="50" ht="15.75" customHeight="1">
      <c r="A50" s="2" t="s">
        <v>34</v>
      </c>
      <c r="B50" s="2" t="s">
        <v>28</v>
      </c>
      <c r="C50" s="2">
        <v>0.0</v>
      </c>
      <c r="D50" s="2">
        <v>0.0</v>
      </c>
      <c r="E50" s="2">
        <v>1.0</v>
      </c>
    </row>
    <row r="51" ht="15.75" customHeight="1">
      <c r="A51" s="2" t="s">
        <v>34</v>
      </c>
      <c r="B51" s="2" t="s">
        <v>28</v>
      </c>
      <c r="C51" s="2">
        <v>0.0</v>
      </c>
      <c r="D51" s="2">
        <v>0.0</v>
      </c>
      <c r="E51" s="2">
        <v>1.0</v>
      </c>
    </row>
    <row r="52" ht="15.75" customHeight="1">
      <c r="A52" s="2" t="s">
        <v>34</v>
      </c>
      <c r="B52" s="2" t="s">
        <v>28</v>
      </c>
      <c r="C52" s="2">
        <v>0.0</v>
      </c>
      <c r="D52" s="2">
        <v>0.0</v>
      </c>
      <c r="E52" s="2">
        <v>1.0</v>
      </c>
    </row>
    <row r="53" ht="15.75" customHeight="1">
      <c r="A53" s="2" t="s">
        <v>34</v>
      </c>
      <c r="B53" s="2" t="s">
        <v>28</v>
      </c>
      <c r="C53" s="2">
        <v>0.0</v>
      </c>
      <c r="D53" s="2">
        <v>0.0</v>
      </c>
      <c r="E53" s="2">
        <v>1.0</v>
      </c>
    </row>
    <row r="54" ht="15.75" customHeight="1">
      <c r="A54" s="2" t="s">
        <v>35</v>
      </c>
      <c r="B54" s="2" t="s">
        <v>18</v>
      </c>
      <c r="C54" s="2">
        <v>0.0</v>
      </c>
      <c r="D54" s="2">
        <v>1.0</v>
      </c>
      <c r="E54" s="2">
        <v>0.0</v>
      </c>
    </row>
    <row r="55" ht="15.75" customHeight="1">
      <c r="A55" s="2" t="s">
        <v>35</v>
      </c>
      <c r="B55" s="2" t="s">
        <v>18</v>
      </c>
      <c r="C55" s="2">
        <v>0.0</v>
      </c>
      <c r="D55" s="2">
        <v>1.0</v>
      </c>
      <c r="E55" s="2">
        <v>0.0</v>
      </c>
    </row>
    <row r="56" ht="15.75" customHeight="1">
      <c r="A56" s="2" t="s">
        <v>35</v>
      </c>
      <c r="B56" s="2" t="s">
        <v>18</v>
      </c>
      <c r="C56" s="2">
        <v>0.0</v>
      </c>
      <c r="D56" s="2">
        <v>1.0</v>
      </c>
      <c r="E56" s="2">
        <v>0.0</v>
      </c>
    </row>
    <row r="57" ht="15.75" customHeight="1">
      <c r="A57" s="2" t="s">
        <v>35</v>
      </c>
      <c r="B57" s="2" t="s">
        <v>18</v>
      </c>
      <c r="C57" s="2">
        <v>0.0</v>
      </c>
      <c r="D57" s="2">
        <v>1.0</v>
      </c>
      <c r="E57" s="2">
        <v>0.0</v>
      </c>
    </row>
    <row r="58" ht="15.75" customHeight="1">
      <c r="A58" s="2" t="s">
        <v>36</v>
      </c>
      <c r="B58" s="2" t="s">
        <v>21</v>
      </c>
      <c r="C58" s="2">
        <v>1.0</v>
      </c>
      <c r="D58" s="2">
        <v>0.0</v>
      </c>
      <c r="E58" s="2">
        <v>0.0</v>
      </c>
    </row>
    <row r="59" ht="15.75" customHeight="1">
      <c r="A59" s="2" t="s">
        <v>36</v>
      </c>
      <c r="B59" s="2" t="s">
        <v>21</v>
      </c>
      <c r="C59" s="2">
        <v>1.0</v>
      </c>
      <c r="D59" s="2">
        <v>0.0</v>
      </c>
      <c r="E59" s="2">
        <v>0.0</v>
      </c>
    </row>
    <row r="60" ht="15.75" customHeight="1">
      <c r="A60" s="2" t="s">
        <v>36</v>
      </c>
      <c r="B60" s="2" t="s">
        <v>21</v>
      </c>
      <c r="C60" s="2">
        <v>1.0</v>
      </c>
      <c r="D60" s="2">
        <v>0.0</v>
      </c>
      <c r="E60" s="2">
        <v>0.0</v>
      </c>
    </row>
    <row r="61" ht="15.75" customHeight="1">
      <c r="A61" s="2" t="s">
        <v>36</v>
      </c>
      <c r="B61" s="2" t="s">
        <v>21</v>
      </c>
      <c r="C61" s="2">
        <v>1.0</v>
      </c>
      <c r="D61" s="2">
        <v>0.0</v>
      </c>
      <c r="E61" s="2">
        <v>0.0</v>
      </c>
    </row>
    <row r="62" ht="15.75" customHeight="1">
      <c r="A62" s="2" t="s">
        <v>37</v>
      </c>
      <c r="B62" s="2" t="s">
        <v>18</v>
      </c>
      <c r="C62" s="2">
        <v>0.0</v>
      </c>
      <c r="D62" s="2">
        <v>1.0</v>
      </c>
      <c r="E62" s="2">
        <v>0.0</v>
      </c>
    </row>
    <row r="63" ht="15.75" customHeight="1">
      <c r="A63" s="2" t="s">
        <v>37</v>
      </c>
      <c r="B63" s="2" t="s">
        <v>18</v>
      </c>
      <c r="C63" s="2">
        <v>0.0</v>
      </c>
      <c r="D63" s="2">
        <v>1.0</v>
      </c>
      <c r="E63" s="2">
        <v>0.0</v>
      </c>
    </row>
    <row r="64" ht="15.75" customHeight="1">
      <c r="A64" s="2" t="s">
        <v>37</v>
      </c>
      <c r="B64" s="2" t="s">
        <v>18</v>
      </c>
      <c r="C64" s="2">
        <v>0.0</v>
      </c>
      <c r="D64" s="2">
        <v>1.0</v>
      </c>
      <c r="E64" s="2">
        <v>0.0</v>
      </c>
    </row>
    <row r="65" ht="15.75" customHeight="1">
      <c r="A65" s="2" t="s">
        <v>37</v>
      </c>
      <c r="B65" s="2" t="s">
        <v>18</v>
      </c>
      <c r="C65" s="2">
        <v>0.0</v>
      </c>
      <c r="D65" s="2">
        <v>1.0</v>
      </c>
      <c r="E65" s="2">
        <v>0.0</v>
      </c>
    </row>
    <row r="66" ht="15.75" customHeight="1">
      <c r="A66" s="2" t="s">
        <v>38</v>
      </c>
      <c r="B66" s="2" t="s">
        <v>18</v>
      </c>
      <c r="C66" s="2">
        <v>0.0</v>
      </c>
      <c r="D66" s="2">
        <v>1.0</v>
      </c>
      <c r="E66" s="2">
        <v>0.0</v>
      </c>
    </row>
    <row r="67" ht="15.75" customHeight="1">
      <c r="A67" s="2" t="s">
        <v>38</v>
      </c>
      <c r="B67" s="2" t="s">
        <v>18</v>
      </c>
      <c r="C67" s="2">
        <v>0.0</v>
      </c>
      <c r="D67" s="2">
        <v>1.0</v>
      </c>
      <c r="E67" s="2">
        <v>0.0</v>
      </c>
    </row>
    <row r="68" ht="15.75" customHeight="1">
      <c r="A68" s="2" t="s">
        <v>38</v>
      </c>
      <c r="B68" s="2" t="s">
        <v>18</v>
      </c>
      <c r="C68" s="2">
        <v>0.0</v>
      </c>
      <c r="D68" s="2">
        <v>1.0</v>
      </c>
      <c r="E68" s="2">
        <v>0.0</v>
      </c>
    </row>
    <row r="69" ht="15.75" customHeight="1">
      <c r="A69" s="2" t="s">
        <v>38</v>
      </c>
      <c r="B69" s="2" t="s">
        <v>18</v>
      </c>
      <c r="C69" s="2">
        <v>0.0</v>
      </c>
      <c r="D69" s="2">
        <v>1.0</v>
      </c>
      <c r="E69" s="2">
        <v>0.0</v>
      </c>
    </row>
    <row r="70" ht="15.75" customHeight="1">
      <c r="A70" s="2" t="s">
        <v>39</v>
      </c>
      <c r="B70" s="2" t="s">
        <v>18</v>
      </c>
      <c r="C70" s="2">
        <v>0.0</v>
      </c>
      <c r="D70" s="2">
        <v>1.0</v>
      </c>
      <c r="E70" s="2">
        <v>0.0</v>
      </c>
    </row>
    <row r="71" ht="15.75" customHeight="1">
      <c r="A71" s="2" t="s">
        <v>39</v>
      </c>
      <c r="B71" s="2" t="s">
        <v>18</v>
      </c>
      <c r="C71" s="2">
        <v>0.0</v>
      </c>
      <c r="D71" s="2">
        <v>1.0</v>
      </c>
      <c r="E71" s="2">
        <v>0.0</v>
      </c>
    </row>
    <row r="72" ht="15.75" customHeight="1">
      <c r="A72" s="2" t="s">
        <v>39</v>
      </c>
      <c r="B72" s="2" t="s">
        <v>18</v>
      </c>
      <c r="C72" s="2">
        <v>0.0</v>
      </c>
      <c r="D72" s="2">
        <v>1.0</v>
      </c>
      <c r="E72" s="2">
        <v>0.0</v>
      </c>
    </row>
    <row r="73" ht="15.75" customHeight="1">
      <c r="A73" s="2" t="s">
        <v>39</v>
      </c>
      <c r="B73" s="2" t="s">
        <v>18</v>
      </c>
      <c r="C73" s="2">
        <v>0.0</v>
      </c>
      <c r="D73" s="2">
        <v>1.0</v>
      </c>
      <c r="E73" s="2">
        <v>0.0</v>
      </c>
    </row>
    <row r="74" ht="15.75" customHeight="1">
      <c r="A74" s="2" t="s">
        <v>40</v>
      </c>
      <c r="B74" s="2" t="s">
        <v>16</v>
      </c>
      <c r="C74" s="2">
        <v>0.0</v>
      </c>
      <c r="D74" s="2">
        <v>0.0</v>
      </c>
      <c r="E74" s="2">
        <v>0.0</v>
      </c>
      <c r="F74" s="2" t="s">
        <v>110</v>
      </c>
    </row>
    <row r="75" ht="15.75" customHeight="1">
      <c r="A75" s="2" t="s">
        <v>40</v>
      </c>
      <c r="B75" s="2" t="s">
        <v>16</v>
      </c>
      <c r="C75" s="2">
        <v>0.0</v>
      </c>
      <c r="D75" s="2">
        <v>0.0</v>
      </c>
      <c r="E75" s="2">
        <v>0.0</v>
      </c>
      <c r="F75" s="2" t="s">
        <v>110</v>
      </c>
    </row>
    <row r="76" ht="15.75" customHeight="1">
      <c r="A76" s="2" t="s">
        <v>40</v>
      </c>
      <c r="B76" s="2" t="s">
        <v>16</v>
      </c>
      <c r="C76" s="2">
        <v>0.0</v>
      </c>
      <c r="D76" s="2">
        <v>0.0</v>
      </c>
      <c r="E76" s="2">
        <v>0.0</v>
      </c>
      <c r="F76" s="2" t="s">
        <v>110</v>
      </c>
    </row>
    <row r="77" ht="15.75" customHeight="1">
      <c r="A77" s="2" t="s">
        <v>40</v>
      </c>
      <c r="B77" s="2" t="s">
        <v>16</v>
      </c>
      <c r="C77" s="2">
        <v>0.0</v>
      </c>
      <c r="D77" s="2">
        <v>0.0</v>
      </c>
      <c r="E77" s="2">
        <v>0.0</v>
      </c>
      <c r="F77" s="2" t="s">
        <v>110</v>
      </c>
    </row>
    <row r="78" ht="15.75" customHeight="1">
      <c r="A78" s="2" t="s">
        <v>41</v>
      </c>
      <c r="B78" s="2" t="s">
        <v>18</v>
      </c>
      <c r="C78" s="2">
        <v>0.0</v>
      </c>
      <c r="D78" s="2">
        <v>1.0</v>
      </c>
      <c r="E78" s="2">
        <v>0.0</v>
      </c>
    </row>
    <row r="79" ht="15.75" customHeight="1">
      <c r="A79" s="2" t="s">
        <v>41</v>
      </c>
      <c r="B79" s="2" t="s">
        <v>18</v>
      </c>
      <c r="C79" s="2">
        <v>0.0</v>
      </c>
      <c r="D79" s="2">
        <v>1.0</v>
      </c>
      <c r="E79" s="2">
        <v>0.0</v>
      </c>
    </row>
    <row r="80" ht="15.75" customHeight="1">
      <c r="A80" s="2" t="s">
        <v>41</v>
      </c>
      <c r="B80" s="2" t="s">
        <v>18</v>
      </c>
      <c r="C80" s="2">
        <v>0.0</v>
      </c>
      <c r="D80" s="2">
        <v>1.0</v>
      </c>
      <c r="E80" s="2">
        <v>0.0</v>
      </c>
    </row>
    <row r="81" ht="15.75" customHeight="1">
      <c r="A81" s="2" t="s">
        <v>41</v>
      </c>
      <c r="B81" s="2" t="s">
        <v>18</v>
      </c>
      <c r="C81" s="2">
        <v>0.0</v>
      </c>
      <c r="D81" s="2">
        <v>1.0</v>
      </c>
      <c r="E81" s="2">
        <v>0.0</v>
      </c>
    </row>
    <row r="82" ht="15.75" customHeight="1">
      <c r="A82" s="2" t="s">
        <v>42</v>
      </c>
      <c r="B82" s="2" t="s">
        <v>28</v>
      </c>
      <c r="C82" s="2">
        <v>0.0</v>
      </c>
      <c r="D82" s="2">
        <v>0.0</v>
      </c>
      <c r="E82" s="2">
        <v>1.0</v>
      </c>
    </row>
    <row r="83" ht="15.75" customHeight="1">
      <c r="A83" s="2" t="s">
        <v>42</v>
      </c>
      <c r="B83" s="2" t="s">
        <v>28</v>
      </c>
      <c r="C83" s="2">
        <v>0.0</v>
      </c>
      <c r="D83" s="2">
        <v>0.0</v>
      </c>
      <c r="E83" s="2">
        <v>1.0</v>
      </c>
    </row>
    <row r="84" ht="15.75" customHeight="1">
      <c r="A84" s="2" t="s">
        <v>42</v>
      </c>
      <c r="B84" s="2" t="s">
        <v>28</v>
      </c>
      <c r="C84" s="2">
        <v>0.0</v>
      </c>
      <c r="D84" s="2">
        <v>0.0</v>
      </c>
      <c r="E84" s="2">
        <v>1.0</v>
      </c>
    </row>
    <row r="85" ht="15.75" customHeight="1">
      <c r="A85" s="2" t="s">
        <v>42</v>
      </c>
      <c r="B85" s="2" t="s">
        <v>28</v>
      </c>
      <c r="C85" s="2">
        <v>0.0</v>
      </c>
      <c r="D85" s="2">
        <v>0.0</v>
      </c>
      <c r="E85" s="2">
        <v>1.0</v>
      </c>
    </row>
    <row r="86" ht="15.75" customHeight="1">
      <c r="A86" s="2" t="s">
        <v>43</v>
      </c>
      <c r="B86" s="2" t="s">
        <v>18</v>
      </c>
      <c r="C86" s="2">
        <v>0.0</v>
      </c>
      <c r="D86" s="2">
        <v>1.0</v>
      </c>
      <c r="E86" s="2">
        <v>0.0</v>
      </c>
    </row>
    <row r="87" ht="15.75" customHeight="1">
      <c r="A87" s="2" t="s">
        <v>43</v>
      </c>
      <c r="B87" s="2" t="s">
        <v>18</v>
      </c>
      <c r="C87" s="2">
        <v>0.0</v>
      </c>
      <c r="D87" s="2">
        <v>1.0</v>
      </c>
      <c r="E87" s="2">
        <v>0.0</v>
      </c>
    </row>
    <row r="88" ht="15.75" customHeight="1">
      <c r="A88" s="2" t="s">
        <v>43</v>
      </c>
      <c r="B88" s="2" t="s">
        <v>18</v>
      </c>
      <c r="C88" s="2">
        <v>0.0</v>
      </c>
      <c r="D88" s="2">
        <v>1.0</v>
      </c>
      <c r="E88" s="2">
        <v>0.0</v>
      </c>
    </row>
    <row r="89" ht="15.75" customHeight="1">
      <c r="A89" s="2" t="s">
        <v>43</v>
      </c>
      <c r="B89" s="2" t="s">
        <v>18</v>
      </c>
      <c r="C89" s="2">
        <v>0.0</v>
      </c>
      <c r="D89" s="2">
        <v>1.0</v>
      </c>
      <c r="E89" s="2">
        <v>0.0</v>
      </c>
    </row>
    <row r="90" ht="15.75" customHeight="1">
      <c r="A90" s="2" t="s">
        <v>44</v>
      </c>
      <c r="B90" s="2" t="s">
        <v>28</v>
      </c>
      <c r="C90" s="2">
        <v>0.0</v>
      </c>
      <c r="D90" s="2">
        <v>0.0</v>
      </c>
      <c r="E90" s="2">
        <v>1.0</v>
      </c>
    </row>
    <row r="91" ht="15.75" customHeight="1">
      <c r="A91" s="2" t="s">
        <v>44</v>
      </c>
      <c r="B91" s="2" t="s">
        <v>28</v>
      </c>
      <c r="C91" s="2">
        <v>0.0</v>
      </c>
      <c r="D91" s="2">
        <v>0.0</v>
      </c>
      <c r="E91" s="2">
        <v>1.0</v>
      </c>
    </row>
    <row r="92" ht="15.75" customHeight="1">
      <c r="A92" s="2" t="s">
        <v>44</v>
      </c>
      <c r="B92" s="2" t="s">
        <v>28</v>
      </c>
      <c r="C92" s="2">
        <v>0.0</v>
      </c>
      <c r="D92" s="2">
        <v>0.0</v>
      </c>
      <c r="E92" s="2">
        <v>1.0</v>
      </c>
    </row>
    <row r="93" ht="15.75" customHeight="1">
      <c r="A93" s="2" t="s">
        <v>44</v>
      </c>
      <c r="B93" s="2" t="s">
        <v>28</v>
      </c>
      <c r="C93" s="2">
        <v>0.0</v>
      </c>
      <c r="D93" s="2">
        <v>0.0</v>
      </c>
      <c r="E93" s="2">
        <v>1.0</v>
      </c>
    </row>
    <row r="94" ht="15.75" customHeight="1">
      <c r="A94" s="2" t="s">
        <v>45</v>
      </c>
      <c r="B94" s="2" t="s">
        <v>16</v>
      </c>
      <c r="C94" s="2">
        <v>0.0</v>
      </c>
      <c r="D94" s="2">
        <v>0.0</v>
      </c>
      <c r="E94" s="2">
        <v>0.0</v>
      </c>
      <c r="F94" s="2" t="s">
        <v>110</v>
      </c>
    </row>
    <row r="95" ht="15.75" customHeight="1">
      <c r="A95" s="2" t="s">
        <v>45</v>
      </c>
      <c r="B95" s="2" t="s">
        <v>16</v>
      </c>
      <c r="C95" s="2">
        <v>0.0</v>
      </c>
      <c r="D95" s="2">
        <v>0.0</v>
      </c>
      <c r="E95" s="2">
        <v>0.0</v>
      </c>
      <c r="F95" s="2" t="s">
        <v>110</v>
      </c>
    </row>
    <row r="96" ht="15.75" customHeight="1">
      <c r="A96" s="2" t="s">
        <v>45</v>
      </c>
      <c r="B96" s="2" t="s">
        <v>16</v>
      </c>
      <c r="C96" s="2">
        <v>0.0</v>
      </c>
      <c r="D96" s="2">
        <v>0.0</v>
      </c>
      <c r="E96" s="2">
        <v>0.0</v>
      </c>
      <c r="F96" s="2" t="s">
        <v>110</v>
      </c>
    </row>
    <row r="97" ht="15.75" customHeight="1">
      <c r="A97" s="2" t="s">
        <v>45</v>
      </c>
      <c r="B97" s="2" t="s">
        <v>16</v>
      </c>
      <c r="C97" s="2">
        <v>0.0</v>
      </c>
      <c r="D97" s="2">
        <v>0.0</v>
      </c>
      <c r="E97" s="2">
        <v>0.0</v>
      </c>
      <c r="F97" s="2" t="s">
        <v>110</v>
      </c>
    </row>
    <row r="98" ht="15.75" customHeight="1">
      <c r="A98" s="2" t="s">
        <v>46</v>
      </c>
      <c r="B98" s="2" t="s">
        <v>28</v>
      </c>
      <c r="C98" s="2">
        <v>0.0</v>
      </c>
      <c r="D98" s="2">
        <v>0.0</v>
      </c>
      <c r="E98" s="2">
        <v>1.0</v>
      </c>
    </row>
    <row r="99" ht="15.75" customHeight="1">
      <c r="A99" s="2" t="s">
        <v>46</v>
      </c>
      <c r="B99" s="2" t="s">
        <v>28</v>
      </c>
      <c r="C99" s="2">
        <v>0.0</v>
      </c>
      <c r="D99" s="2">
        <v>0.0</v>
      </c>
      <c r="E99" s="2">
        <v>1.0</v>
      </c>
    </row>
    <row r="100" ht="15.75" customHeight="1">
      <c r="A100" s="2" t="s">
        <v>46</v>
      </c>
      <c r="B100" s="2" t="s">
        <v>28</v>
      </c>
      <c r="C100" s="2">
        <v>0.0</v>
      </c>
      <c r="D100" s="2">
        <v>0.0</v>
      </c>
      <c r="E100" s="2">
        <v>1.0</v>
      </c>
    </row>
    <row r="101" ht="15.75" customHeight="1">
      <c r="A101" s="2" t="s">
        <v>46</v>
      </c>
      <c r="B101" s="2" t="s">
        <v>28</v>
      </c>
      <c r="C101" s="2">
        <v>0.0</v>
      </c>
      <c r="D101" s="2">
        <v>0.0</v>
      </c>
      <c r="E101" s="2">
        <v>1.0</v>
      </c>
    </row>
    <row r="102" ht="15.75" customHeight="1">
      <c r="A102" s="2" t="s">
        <v>47</v>
      </c>
      <c r="B102" s="2" t="s">
        <v>28</v>
      </c>
      <c r="C102" s="2">
        <v>0.0</v>
      </c>
      <c r="D102" s="2">
        <v>0.0</v>
      </c>
      <c r="E102" s="2">
        <v>1.0</v>
      </c>
    </row>
    <row r="103" ht="15.75" customHeight="1">
      <c r="A103" s="2" t="s">
        <v>47</v>
      </c>
      <c r="B103" s="2" t="s">
        <v>28</v>
      </c>
      <c r="C103" s="2">
        <v>0.0</v>
      </c>
      <c r="D103" s="2">
        <v>0.0</v>
      </c>
      <c r="E103" s="2">
        <v>1.0</v>
      </c>
    </row>
    <row r="104" ht="15.75" customHeight="1">
      <c r="A104" s="2" t="s">
        <v>47</v>
      </c>
      <c r="B104" s="2" t="s">
        <v>28</v>
      </c>
      <c r="C104" s="2">
        <v>0.0</v>
      </c>
      <c r="D104" s="2">
        <v>0.0</v>
      </c>
      <c r="E104" s="2">
        <v>1.0</v>
      </c>
    </row>
    <row r="105" ht="15.75" customHeight="1">
      <c r="A105" s="2" t="s">
        <v>47</v>
      </c>
      <c r="B105" s="2" t="s">
        <v>28</v>
      </c>
      <c r="C105" s="2">
        <v>0.0</v>
      </c>
      <c r="D105" s="2">
        <v>0.0</v>
      </c>
      <c r="E105" s="2">
        <v>1.0</v>
      </c>
    </row>
    <row r="106" ht="15.75" customHeight="1">
      <c r="A106" s="2" t="s">
        <v>48</v>
      </c>
      <c r="B106" s="2" t="s">
        <v>18</v>
      </c>
      <c r="C106" s="2">
        <v>0.0</v>
      </c>
      <c r="D106" s="2">
        <v>1.0</v>
      </c>
      <c r="E106" s="2">
        <v>0.0</v>
      </c>
    </row>
    <row r="107" ht="15.75" customHeight="1">
      <c r="A107" s="2" t="s">
        <v>48</v>
      </c>
      <c r="B107" s="2" t="s">
        <v>18</v>
      </c>
      <c r="C107" s="2">
        <v>0.0</v>
      </c>
      <c r="D107" s="2">
        <v>1.0</v>
      </c>
      <c r="E107" s="2">
        <v>0.0</v>
      </c>
    </row>
    <row r="108" ht="15.75" customHeight="1">
      <c r="A108" s="2" t="s">
        <v>48</v>
      </c>
      <c r="B108" s="2" t="s">
        <v>18</v>
      </c>
      <c r="C108" s="2">
        <v>0.0</v>
      </c>
      <c r="D108" s="2">
        <v>1.0</v>
      </c>
      <c r="E108" s="2">
        <v>0.0</v>
      </c>
    </row>
    <row r="109" ht="15.75" customHeight="1">
      <c r="A109" s="2" t="s">
        <v>48</v>
      </c>
      <c r="B109" s="2" t="s">
        <v>18</v>
      </c>
      <c r="C109" s="2">
        <v>0.0</v>
      </c>
      <c r="D109" s="2">
        <v>1.0</v>
      </c>
      <c r="E109" s="2">
        <v>0.0</v>
      </c>
    </row>
    <row r="110" ht="15.75" customHeight="1">
      <c r="A110" s="2" t="s">
        <v>49</v>
      </c>
      <c r="B110" s="2" t="s">
        <v>28</v>
      </c>
      <c r="C110" s="2">
        <v>0.0</v>
      </c>
      <c r="D110" s="2">
        <v>0.0</v>
      </c>
      <c r="E110" s="2">
        <v>1.0</v>
      </c>
    </row>
    <row r="111" ht="15.75" customHeight="1">
      <c r="A111" s="2" t="s">
        <v>49</v>
      </c>
      <c r="B111" s="2" t="s">
        <v>28</v>
      </c>
      <c r="C111" s="2">
        <v>0.0</v>
      </c>
      <c r="D111" s="2">
        <v>0.0</v>
      </c>
      <c r="E111" s="2">
        <v>1.0</v>
      </c>
    </row>
    <row r="112" ht="15.75" customHeight="1">
      <c r="A112" s="2" t="s">
        <v>49</v>
      </c>
      <c r="B112" s="2" t="s">
        <v>28</v>
      </c>
      <c r="C112" s="2">
        <v>0.0</v>
      </c>
      <c r="D112" s="2">
        <v>0.0</v>
      </c>
      <c r="E112" s="2">
        <v>1.0</v>
      </c>
    </row>
    <row r="113" ht="15.75" customHeight="1">
      <c r="A113" s="2" t="s">
        <v>49</v>
      </c>
      <c r="B113" s="2" t="s">
        <v>28</v>
      </c>
      <c r="C113" s="2">
        <v>0.0</v>
      </c>
      <c r="D113" s="2">
        <v>0.0</v>
      </c>
      <c r="E113" s="2">
        <v>1.0</v>
      </c>
    </row>
    <row r="114" ht="15.75" customHeight="1">
      <c r="A114" s="2" t="s">
        <v>50</v>
      </c>
      <c r="B114" s="2" t="s">
        <v>28</v>
      </c>
      <c r="C114" s="2">
        <v>0.0</v>
      </c>
      <c r="D114" s="2">
        <v>0.0</v>
      </c>
      <c r="E114" s="2">
        <v>1.0</v>
      </c>
    </row>
    <row r="115" ht="15.75" customHeight="1">
      <c r="A115" s="2" t="s">
        <v>50</v>
      </c>
      <c r="B115" s="2" t="s">
        <v>28</v>
      </c>
      <c r="C115" s="2">
        <v>0.0</v>
      </c>
      <c r="D115" s="2">
        <v>0.0</v>
      </c>
      <c r="E115" s="2">
        <v>1.0</v>
      </c>
    </row>
    <row r="116" ht="15.75" customHeight="1">
      <c r="A116" s="2" t="s">
        <v>50</v>
      </c>
      <c r="B116" s="2" t="s">
        <v>28</v>
      </c>
      <c r="C116" s="2">
        <v>0.0</v>
      </c>
      <c r="D116" s="2">
        <v>0.0</v>
      </c>
      <c r="E116" s="2">
        <v>1.0</v>
      </c>
    </row>
    <row r="117" ht="15.75" customHeight="1">
      <c r="A117" s="2" t="s">
        <v>50</v>
      </c>
      <c r="B117" s="2" t="s">
        <v>28</v>
      </c>
      <c r="C117" s="2">
        <v>0.0</v>
      </c>
      <c r="D117" s="2">
        <v>0.0</v>
      </c>
      <c r="E117" s="2">
        <v>1.0</v>
      </c>
    </row>
    <row r="118" ht="15.75" customHeight="1">
      <c r="A118" s="2" t="s">
        <v>51</v>
      </c>
      <c r="B118" s="2" t="s">
        <v>16</v>
      </c>
      <c r="C118" s="2">
        <v>0.0</v>
      </c>
      <c r="D118" s="2">
        <v>0.0</v>
      </c>
      <c r="E118" s="2">
        <v>0.0</v>
      </c>
      <c r="F118" s="2" t="s">
        <v>110</v>
      </c>
    </row>
    <row r="119" ht="15.75" customHeight="1">
      <c r="A119" s="2" t="s">
        <v>51</v>
      </c>
      <c r="B119" s="2" t="s">
        <v>16</v>
      </c>
      <c r="C119" s="2">
        <v>0.0</v>
      </c>
      <c r="D119" s="2">
        <v>0.0</v>
      </c>
      <c r="E119" s="2">
        <v>0.0</v>
      </c>
      <c r="F119" s="2" t="s">
        <v>110</v>
      </c>
    </row>
    <row r="120" ht="15.75" customHeight="1">
      <c r="A120" s="2" t="s">
        <v>51</v>
      </c>
      <c r="B120" s="2" t="s">
        <v>16</v>
      </c>
      <c r="C120" s="2">
        <v>0.0</v>
      </c>
      <c r="D120" s="2">
        <v>0.0</v>
      </c>
      <c r="E120" s="2">
        <v>0.0</v>
      </c>
      <c r="F120" s="2" t="s">
        <v>110</v>
      </c>
    </row>
    <row r="121" ht="15.75" customHeight="1">
      <c r="A121" s="2" t="s">
        <v>51</v>
      </c>
      <c r="B121" s="2" t="s">
        <v>16</v>
      </c>
      <c r="C121" s="2">
        <v>0.0</v>
      </c>
      <c r="D121" s="2">
        <v>0.0</v>
      </c>
      <c r="E121" s="2">
        <v>0.0</v>
      </c>
      <c r="F121" s="2" t="s">
        <v>110</v>
      </c>
    </row>
    <row r="122" ht="15.75" customHeight="1">
      <c r="A122" s="2" t="s">
        <v>52</v>
      </c>
      <c r="B122" s="2" t="s">
        <v>18</v>
      </c>
      <c r="C122" s="2">
        <v>0.0</v>
      </c>
      <c r="D122" s="2">
        <v>1.0</v>
      </c>
      <c r="E122" s="2">
        <v>0.0</v>
      </c>
    </row>
    <row r="123" ht="15.75" customHeight="1">
      <c r="A123" s="2" t="s">
        <v>52</v>
      </c>
      <c r="B123" s="2" t="s">
        <v>18</v>
      </c>
      <c r="C123" s="2">
        <v>0.0</v>
      </c>
      <c r="D123" s="2">
        <v>1.0</v>
      </c>
      <c r="E123" s="2">
        <v>0.0</v>
      </c>
    </row>
    <row r="124" ht="15.75" customHeight="1">
      <c r="A124" s="2" t="s">
        <v>52</v>
      </c>
      <c r="B124" s="2" t="s">
        <v>18</v>
      </c>
      <c r="C124" s="2">
        <v>0.0</v>
      </c>
      <c r="D124" s="2">
        <v>1.0</v>
      </c>
      <c r="E124" s="2">
        <v>0.0</v>
      </c>
    </row>
    <row r="125" ht="15.75" customHeight="1">
      <c r="A125" s="2" t="s">
        <v>52</v>
      </c>
      <c r="B125" s="2" t="s">
        <v>18</v>
      </c>
      <c r="C125" s="2">
        <v>0.0</v>
      </c>
      <c r="D125" s="2">
        <v>1.0</v>
      </c>
      <c r="E125" s="2">
        <v>0.0</v>
      </c>
    </row>
    <row r="126" ht="15.75" customHeight="1">
      <c r="A126" s="2" t="s">
        <v>53</v>
      </c>
      <c r="B126" s="2" t="s">
        <v>18</v>
      </c>
      <c r="C126" s="2">
        <v>0.0</v>
      </c>
      <c r="D126" s="2">
        <v>1.0</v>
      </c>
      <c r="E126" s="2">
        <v>0.0</v>
      </c>
    </row>
    <row r="127" ht="15.75" customHeight="1">
      <c r="A127" s="2" t="s">
        <v>53</v>
      </c>
      <c r="B127" s="2" t="s">
        <v>18</v>
      </c>
      <c r="C127" s="2">
        <v>0.0</v>
      </c>
      <c r="D127" s="2">
        <v>1.0</v>
      </c>
      <c r="E127" s="2">
        <v>0.0</v>
      </c>
    </row>
    <row r="128" ht="15.75" customHeight="1">
      <c r="A128" s="2" t="s">
        <v>53</v>
      </c>
      <c r="B128" s="2" t="s">
        <v>18</v>
      </c>
      <c r="C128" s="2">
        <v>0.0</v>
      </c>
      <c r="D128" s="2">
        <v>1.0</v>
      </c>
      <c r="E128" s="2">
        <v>0.0</v>
      </c>
    </row>
    <row r="129" ht="15.75" customHeight="1">
      <c r="A129" s="2" t="s">
        <v>53</v>
      </c>
      <c r="B129" s="2" t="s">
        <v>18</v>
      </c>
      <c r="C129" s="2">
        <v>0.0</v>
      </c>
      <c r="D129" s="2">
        <v>1.0</v>
      </c>
      <c r="E129" s="2">
        <v>0.0</v>
      </c>
    </row>
    <row r="130" ht="15.75" customHeight="1">
      <c r="A130" s="2" t="s">
        <v>54</v>
      </c>
      <c r="B130" s="2" t="s">
        <v>18</v>
      </c>
      <c r="C130" s="2">
        <v>0.0</v>
      </c>
      <c r="D130" s="2">
        <v>1.0</v>
      </c>
      <c r="E130" s="2">
        <v>0.0</v>
      </c>
    </row>
    <row r="131" ht="15.75" customHeight="1">
      <c r="A131" s="2" t="s">
        <v>54</v>
      </c>
      <c r="B131" s="2" t="s">
        <v>18</v>
      </c>
      <c r="C131" s="2">
        <v>0.0</v>
      </c>
      <c r="D131" s="2">
        <v>1.0</v>
      </c>
      <c r="E131" s="2">
        <v>0.0</v>
      </c>
    </row>
    <row r="132" ht="15.75" customHeight="1">
      <c r="A132" s="2" t="s">
        <v>54</v>
      </c>
      <c r="B132" s="2" t="s">
        <v>18</v>
      </c>
      <c r="C132" s="2">
        <v>0.0</v>
      </c>
      <c r="D132" s="2">
        <v>1.0</v>
      </c>
      <c r="E132" s="2">
        <v>0.0</v>
      </c>
    </row>
    <row r="133" ht="15.75" customHeight="1">
      <c r="A133" s="2" t="s">
        <v>54</v>
      </c>
      <c r="B133" s="2" t="s">
        <v>18</v>
      </c>
      <c r="C133" s="2">
        <v>0.0</v>
      </c>
      <c r="D133" s="2">
        <v>1.0</v>
      </c>
      <c r="E133" s="2">
        <v>0.0</v>
      </c>
    </row>
    <row r="134" ht="15.75" customHeight="1">
      <c r="A134" s="2" t="s">
        <v>55</v>
      </c>
      <c r="B134" s="2" t="s">
        <v>18</v>
      </c>
      <c r="C134" s="2">
        <v>0.0</v>
      </c>
      <c r="D134" s="2">
        <v>1.0</v>
      </c>
      <c r="E134" s="2">
        <v>0.0</v>
      </c>
    </row>
    <row r="135" ht="15.75" customHeight="1">
      <c r="A135" s="2" t="s">
        <v>55</v>
      </c>
      <c r="B135" s="2" t="s">
        <v>18</v>
      </c>
      <c r="C135" s="2">
        <v>0.0</v>
      </c>
      <c r="D135" s="2">
        <v>1.0</v>
      </c>
      <c r="E135" s="2">
        <v>0.0</v>
      </c>
    </row>
    <row r="136" ht="15.75" customHeight="1">
      <c r="A136" s="2" t="s">
        <v>55</v>
      </c>
      <c r="B136" s="2" t="s">
        <v>18</v>
      </c>
      <c r="C136" s="2">
        <v>0.0</v>
      </c>
      <c r="D136" s="2">
        <v>1.0</v>
      </c>
      <c r="E136" s="2">
        <v>0.0</v>
      </c>
    </row>
    <row r="137" ht="15.75" customHeight="1">
      <c r="A137" s="2" t="s">
        <v>55</v>
      </c>
      <c r="B137" s="2" t="s">
        <v>18</v>
      </c>
      <c r="C137" s="2">
        <v>0.0</v>
      </c>
      <c r="D137" s="2">
        <v>1.0</v>
      </c>
      <c r="E137" s="2">
        <v>0.0</v>
      </c>
    </row>
    <row r="138" ht="15.75" customHeight="1">
      <c r="A138" s="2" t="s">
        <v>56</v>
      </c>
      <c r="B138" s="2" t="s">
        <v>16</v>
      </c>
      <c r="C138" s="2">
        <v>0.0</v>
      </c>
      <c r="D138" s="2">
        <v>0.0</v>
      </c>
      <c r="E138" s="2">
        <v>0.0</v>
      </c>
      <c r="F138" s="2" t="s">
        <v>110</v>
      </c>
    </row>
    <row r="139" ht="15.75" customHeight="1">
      <c r="A139" s="2" t="s">
        <v>56</v>
      </c>
      <c r="B139" s="2" t="s">
        <v>16</v>
      </c>
      <c r="C139" s="2">
        <v>0.0</v>
      </c>
      <c r="D139" s="2">
        <v>0.0</v>
      </c>
      <c r="E139" s="2">
        <v>0.0</v>
      </c>
      <c r="F139" s="2" t="s">
        <v>110</v>
      </c>
    </row>
    <row r="140" ht="15.75" customHeight="1">
      <c r="A140" s="2" t="s">
        <v>56</v>
      </c>
      <c r="B140" s="2" t="s">
        <v>16</v>
      </c>
      <c r="C140" s="2">
        <v>0.0</v>
      </c>
      <c r="D140" s="2">
        <v>0.0</v>
      </c>
      <c r="E140" s="2">
        <v>0.0</v>
      </c>
      <c r="F140" s="2" t="s">
        <v>110</v>
      </c>
    </row>
    <row r="141" ht="15.75" customHeight="1">
      <c r="A141" s="2" t="s">
        <v>56</v>
      </c>
      <c r="B141" s="2" t="s">
        <v>16</v>
      </c>
      <c r="C141" s="2">
        <v>0.0</v>
      </c>
      <c r="D141" s="2">
        <v>0.0</v>
      </c>
      <c r="E141" s="2">
        <v>0.0</v>
      </c>
      <c r="F141" s="2" t="s">
        <v>110</v>
      </c>
    </row>
    <row r="142" ht="15.75" customHeight="1">
      <c r="A142" s="2" t="s">
        <v>57</v>
      </c>
      <c r="B142" s="2" t="s">
        <v>18</v>
      </c>
      <c r="C142" s="2">
        <v>0.0</v>
      </c>
      <c r="D142" s="2">
        <v>1.0</v>
      </c>
      <c r="E142" s="2">
        <v>0.0</v>
      </c>
    </row>
    <row r="143" ht="15.75" customHeight="1">
      <c r="A143" s="2" t="s">
        <v>57</v>
      </c>
      <c r="B143" s="2" t="s">
        <v>18</v>
      </c>
      <c r="C143" s="2">
        <v>0.0</v>
      </c>
      <c r="D143" s="2">
        <v>1.0</v>
      </c>
      <c r="E143" s="2">
        <v>0.0</v>
      </c>
    </row>
    <row r="144" ht="15.75" customHeight="1">
      <c r="A144" s="2" t="s">
        <v>57</v>
      </c>
      <c r="B144" s="2" t="s">
        <v>18</v>
      </c>
      <c r="C144" s="2">
        <v>0.0</v>
      </c>
      <c r="D144" s="2">
        <v>1.0</v>
      </c>
      <c r="E144" s="2">
        <v>0.0</v>
      </c>
    </row>
    <row r="145" ht="15.75" customHeight="1">
      <c r="A145" s="2" t="s">
        <v>57</v>
      </c>
      <c r="B145" s="2" t="s">
        <v>18</v>
      </c>
      <c r="C145" s="2">
        <v>0.0</v>
      </c>
      <c r="D145" s="2">
        <v>1.0</v>
      </c>
      <c r="E145" s="2">
        <v>0.0</v>
      </c>
    </row>
    <row r="146" ht="15.75" customHeight="1">
      <c r="A146" s="2" t="s">
        <v>58</v>
      </c>
      <c r="B146" s="2" t="s">
        <v>16</v>
      </c>
      <c r="C146" s="2">
        <v>0.0</v>
      </c>
      <c r="D146" s="2">
        <v>0.0</v>
      </c>
      <c r="E146" s="2">
        <v>0.0</v>
      </c>
      <c r="F146" s="2" t="s">
        <v>110</v>
      </c>
    </row>
    <row r="147" ht="15.75" customHeight="1">
      <c r="A147" s="2" t="s">
        <v>58</v>
      </c>
      <c r="B147" s="2" t="s">
        <v>16</v>
      </c>
      <c r="C147" s="2">
        <v>0.0</v>
      </c>
      <c r="D147" s="2">
        <v>0.0</v>
      </c>
      <c r="E147" s="2">
        <v>0.0</v>
      </c>
      <c r="F147" s="2" t="s">
        <v>110</v>
      </c>
    </row>
    <row r="148" ht="15.75" customHeight="1">
      <c r="A148" s="2" t="s">
        <v>58</v>
      </c>
      <c r="B148" s="2" t="s">
        <v>16</v>
      </c>
      <c r="C148" s="2">
        <v>0.0</v>
      </c>
      <c r="D148" s="2">
        <v>0.0</v>
      </c>
      <c r="E148" s="2">
        <v>0.0</v>
      </c>
      <c r="F148" s="2" t="s">
        <v>110</v>
      </c>
    </row>
    <row r="149" ht="15.75" customHeight="1">
      <c r="A149" s="2" t="s">
        <v>58</v>
      </c>
      <c r="B149" s="2" t="s">
        <v>16</v>
      </c>
      <c r="C149" s="2">
        <v>0.0</v>
      </c>
      <c r="D149" s="2">
        <v>0.0</v>
      </c>
      <c r="E149" s="2">
        <v>0.0</v>
      </c>
      <c r="F149" s="2" t="s">
        <v>110</v>
      </c>
    </row>
    <row r="150" ht="15.75" customHeight="1">
      <c r="A150" s="2" t="s">
        <v>59</v>
      </c>
      <c r="B150" s="2" t="s">
        <v>28</v>
      </c>
      <c r="C150" s="2">
        <v>0.0</v>
      </c>
      <c r="D150" s="2">
        <v>0.0</v>
      </c>
      <c r="E150" s="2">
        <v>1.0</v>
      </c>
    </row>
    <row r="151" ht="15.75" customHeight="1">
      <c r="A151" s="2" t="s">
        <v>59</v>
      </c>
      <c r="B151" s="2" t="s">
        <v>28</v>
      </c>
      <c r="C151" s="2">
        <v>0.0</v>
      </c>
      <c r="D151" s="2">
        <v>0.0</v>
      </c>
      <c r="E151" s="2">
        <v>1.0</v>
      </c>
    </row>
    <row r="152" ht="15.75" customHeight="1">
      <c r="A152" s="2" t="s">
        <v>59</v>
      </c>
      <c r="B152" s="2" t="s">
        <v>28</v>
      </c>
      <c r="C152" s="2">
        <v>0.0</v>
      </c>
      <c r="D152" s="2">
        <v>0.0</v>
      </c>
      <c r="E152" s="2">
        <v>1.0</v>
      </c>
    </row>
    <row r="153" ht="15.75" customHeight="1">
      <c r="A153" s="2" t="s">
        <v>59</v>
      </c>
      <c r="B153" s="2" t="s">
        <v>28</v>
      </c>
      <c r="C153" s="2">
        <v>0.0</v>
      </c>
      <c r="D153" s="2">
        <v>0.0</v>
      </c>
      <c r="E153" s="2">
        <v>1.0</v>
      </c>
    </row>
    <row r="154" ht="15.75" customHeight="1">
      <c r="A154" s="2" t="s">
        <v>60</v>
      </c>
      <c r="B154" s="2" t="s">
        <v>18</v>
      </c>
      <c r="C154" s="2">
        <v>0.0</v>
      </c>
      <c r="D154" s="2">
        <v>1.0</v>
      </c>
      <c r="E154" s="2">
        <v>0.0</v>
      </c>
    </row>
    <row r="155" ht="15.75" customHeight="1">
      <c r="A155" s="2" t="s">
        <v>60</v>
      </c>
      <c r="B155" s="2" t="s">
        <v>18</v>
      </c>
      <c r="C155" s="2">
        <v>0.0</v>
      </c>
      <c r="D155" s="2">
        <v>1.0</v>
      </c>
      <c r="E155" s="2">
        <v>0.0</v>
      </c>
    </row>
    <row r="156" ht="15.75" customHeight="1">
      <c r="A156" s="2" t="s">
        <v>60</v>
      </c>
      <c r="B156" s="2" t="s">
        <v>18</v>
      </c>
      <c r="C156" s="2">
        <v>0.0</v>
      </c>
      <c r="D156" s="2">
        <v>1.0</v>
      </c>
      <c r="E156" s="2">
        <v>0.0</v>
      </c>
    </row>
    <row r="157" ht="15.75" customHeight="1">
      <c r="A157" s="2" t="s">
        <v>60</v>
      </c>
      <c r="B157" s="2" t="s">
        <v>18</v>
      </c>
      <c r="C157" s="2">
        <v>0.0</v>
      </c>
      <c r="D157" s="2">
        <v>1.0</v>
      </c>
      <c r="E157" s="2">
        <v>0.0</v>
      </c>
    </row>
    <row r="158" ht="15.75" customHeight="1">
      <c r="A158" s="2" t="s">
        <v>61</v>
      </c>
      <c r="B158" s="2" t="s">
        <v>28</v>
      </c>
      <c r="C158" s="2">
        <v>0.0</v>
      </c>
      <c r="D158" s="2">
        <v>0.0</v>
      </c>
      <c r="E158" s="2">
        <v>1.0</v>
      </c>
    </row>
    <row r="159" ht="15.75" customHeight="1">
      <c r="A159" s="2" t="s">
        <v>61</v>
      </c>
      <c r="B159" s="2" t="s">
        <v>28</v>
      </c>
      <c r="C159" s="2">
        <v>0.0</v>
      </c>
      <c r="D159" s="2">
        <v>0.0</v>
      </c>
      <c r="E159" s="2">
        <v>1.0</v>
      </c>
    </row>
    <row r="160" ht="15.75" customHeight="1">
      <c r="A160" s="2" t="s">
        <v>61</v>
      </c>
      <c r="B160" s="2" t="s">
        <v>28</v>
      </c>
      <c r="C160" s="2">
        <v>0.0</v>
      </c>
      <c r="D160" s="2">
        <v>0.0</v>
      </c>
      <c r="E160" s="2">
        <v>1.0</v>
      </c>
    </row>
    <row r="161" ht="15.75" customHeight="1">
      <c r="A161" s="2" t="s">
        <v>61</v>
      </c>
      <c r="B161" s="2" t="s">
        <v>28</v>
      </c>
      <c r="C161" s="2">
        <v>0.0</v>
      </c>
      <c r="D161" s="2">
        <v>0.0</v>
      </c>
      <c r="E161" s="2">
        <v>1.0</v>
      </c>
    </row>
    <row r="162" ht="15.75" customHeight="1">
      <c r="A162" s="2" t="s">
        <v>62</v>
      </c>
      <c r="B162" s="2" t="s">
        <v>18</v>
      </c>
      <c r="C162" s="2">
        <v>0.0</v>
      </c>
      <c r="D162" s="2">
        <v>1.0</v>
      </c>
      <c r="E162" s="2">
        <v>0.0</v>
      </c>
    </row>
    <row r="163" ht="15.75" customHeight="1">
      <c r="A163" s="2" t="s">
        <v>62</v>
      </c>
      <c r="B163" s="2" t="s">
        <v>18</v>
      </c>
      <c r="C163" s="2">
        <v>0.0</v>
      </c>
      <c r="D163" s="2">
        <v>1.0</v>
      </c>
      <c r="E163" s="2">
        <v>0.0</v>
      </c>
    </row>
    <row r="164" ht="15.75" customHeight="1">
      <c r="A164" s="2" t="s">
        <v>62</v>
      </c>
      <c r="B164" s="2" t="s">
        <v>18</v>
      </c>
      <c r="C164" s="2">
        <v>0.0</v>
      </c>
      <c r="D164" s="2">
        <v>1.0</v>
      </c>
      <c r="E164" s="2">
        <v>0.0</v>
      </c>
    </row>
    <row r="165" ht="15.75" customHeight="1">
      <c r="A165" s="2" t="s">
        <v>62</v>
      </c>
      <c r="B165" s="2" t="s">
        <v>18</v>
      </c>
      <c r="C165" s="2">
        <v>0.0</v>
      </c>
      <c r="D165" s="2">
        <v>1.0</v>
      </c>
      <c r="E165" s="2">
        <v>0.0</v>
      </c>
    </row>
    <row r="166" ht="15.75" customHeight="1">
      <c r="A166" s="2" t="s">
        <v>63</v>
      </c>
      <c r="B166" s="2" t="s">
        <v>28</v>
      </c>
      <c r="C166" s="2">
        <v>0.0</v>
      </c>
      <c r="D166" s="2">
        <v>0.0</v>
      </c>
      <c r="E166" s="2">
        <v>1.0</v>
      </c>
    </row>
    <row r="167" ht="15.75" customHeight="1">
      <c r="A167" s="2" t="s">
        <v>63</v>
      </c>
      <c r="B167" s="2" t="s">
        <v>28</v>
      </c>
      <c r="C167" s="2">
        <v>0.0</v>
      </c>
      <c r="D167" s="2">
        <v>0.0</v>
      </c>
      <c r="E167" s="2">
        <v>1.0</v>
      </c>
    </row>
    <row r="168" ht="15.75" customHeight="1">
      <c r="A168" s="2" t="s">
        <v>63</v>
      </c>
      <c r="B168" s="2" t="s">
        <v>28</v>
      </c>
      <c r="C168" s="2">
        <v>0.0</v>
      </c>
      <c r="D168" s="2">
        <v>0.0</v>
      </c>
      <c r="E168" s="2">
        <v>1.0</v>
      </c>
    </row>
    <row r="169" ht="15.75" customHeight="1">
      <c r="A169" s="2" t="s">
        <v>63</v>
      </c>
      <c r="B169" s="2" t="s">
        <v>28</v>
      </c>
      <c r="C169" s="2">
        <v>0.0</v>
      </c>
      <c r="D169" s="2">
        <v>0.0</v>
      </c>
      <c r="E169" s="2">
        <v>1.0</v>
      </c>
    </row>
    <row r="170" ht="15.75" customHeight="1">
      <c r="A170" s="2" t="s">
        <v>64</v>
      </c>
      <c r="B170" s="2" t="s">
        <v>16</v>
      </c>
      <c r="C170" s="2">
        <v>0.0</v>
      </c>
      <c r="D170" s="2">
        <v>0.0</v>
      </c>
      <c r="E170" s="2">
        <v>0.0</v>
      </c>
      <c r="F170" s="2" t="s">
        <v>110</v>
      </c>
    </row>
    <row r="171" ht="15.75" customHeight="1">
      <c r="A171" s="2" t="s">
        <v>64</v>
      </c>
      <c r="B171" s="2" t="s">
        <v>16</v>
      </c>
      <c r="C171" s="2">
        <v>0.0</v>
      </c>
      <c r="D171" s="2">
        <v>0.0</v>
      </c>
      <c r="E171" s="2">
        <v>0.0</v>
      </c>
      <c r="F171" s="2" t="s">
        <v>110</v>
      </c>
    </row>
    <row r="172" ht="15.75" customHeight="1">
      <c r="A172" s="2" t="s">
        <v>64</v>
      </c>
      <c r="B172" s="2" t="s">
        <v>16</v>
      </c>
      <c r="C172" s="2">
        <v>0.0</v>
      </c>
      <c r="D172" s="2">
        <v>0.0</v>
      </c>
      <c r="E172" s="2">
        <v>0.0</v>
      </c>
      <c r="F172" s="2" t="s">
        <v>110</v>
      </c>
    </row>
    <row r="173" ht="15.75" customHeight="1">
      <c r="A173" s="2" t="s">
        <v>64</v>
      </c>
      <c r="B173" s="2" t="s">
        <v>16</v>
      </c>
      <c r="C173" s="2">
        <v>0.0</v>
      </c>
      <c r="D173" s="2">
        <v>0.0</v>
      </c>
      <c r="E173" s="2">
        <v>0.0</v>
      </c>
      <c r="F173" s="2" t="s">
        <v>110</v>
      </c>
    </row>
    <row r="174" ht="15.75" customHeight="1">
      <c r="A174" s="2" t="s">
        <v>65</v>
      </c>
      <c r="B174" s="2" t="s">
        <v>16</v>
      </c>
      <c r="C174" s="2">
        <v>0.0</v>
      </c>
      <c r="D174" s="2">
        <v>0.0</v>
      </c>
      <c r="E174" s="2">
        <v>0.0</v>
      </c>
      <c r="F174" s="2" t="s">
        <v>110</v>
      </c>
    </row>
    <row r="175" ht="15.75" customHeight="1">
      <c r="A175" s="2" t="s">
        <v>65</v>
      </c>
      <c r="B175" s="2" t="s">
        <v>16</v>
      </c>
      <c r="C175" s="2">
        <v>0.0</v>
      </c>
      <c r="D175" s="2">
        <v>0.0</v>
      </c>
      <c r="E175" s="2">
        <v>0.0</v>
      </c>
      <c r="F175" s="2" t="s">
        <v>110</v>
      </c>
    </row>
    <row r="176" ht="15.75" customHeight="1">
      <c r="A176" s="2" t="s">
        <v>65</v>
      </c>
      <c r="B176" s="2" t="s">
        <v>16</v>
      </c>
      <c r="C176" s="2">
        <v>0.0</v>
      </c>
      <c r="D176" s="2">
        <v>0.0</v>
      </c>
      <c r="E176" s="2">
        <v>0.0</v>
      </c>
      <c r="F176" s="2" t="s">
        <v>110</v>
      </c>
    </row>
    <row r="177" ht="15.75" customHeight="1">
      <c r="A177" s="2" t="s">
        <v>65</v>
      </c>
      <c r="B177" s="2" t="s">
        <v>16</v>
      </c>
      <c r="C177" s="2">
        <v>0.0</v>
      </c>
      <c r="D177" s="2">
        <v>0.0</v>
      </c>
      <c r="E177" s="2">
        <v>0.0</v>
      </c>
      <c r="F177" s="2" t="s">
        <v>110</v>
      </c>
    </row>
    <row r="178" ht="15.75" customHeight="1">
      <c r="A178" s="2" t="s">
        <v>66</v>
      </c>
      <c r="B178" s="2" t="s">
        <v>21</v>
      </c>
      <c r="C178" s="2">
        <v>1.0</v>
      </c>
      <c r="D178" s="2">
        <v>0.0</v>
      </c>
      <c r="E178" s="2">
        <v>0.0</v>
      </c>
    </row>
    <row r="179" ht="15.75" customHeight="1">
      <c r="A179" s="2" t="s">
        <v>66</v>
      </c>
      <c r="B179" s="2" t="s">
        <v>21</v>
      </c>
      <c r="C179" s="2">
        <v>1.0</v>
      </c>
      <c r="D179" s="2">
        <v>0.0</v>
      </c>
      <c r="E179" s="2">
        <v>0.0</v>
      </c>
    </row>
    <row r="180" ht="15.75" customHeight="1">
      <c r="A180" s="2" t="s">
        <v>66</v>
      </c>
      <c r="B180" s="2" t="s">
        <v>21</v>
      </c>
      <c r="C180" s="2">
        <v>1.0</v>
      </c>
      <c r="D180" s="2">
        <v>0.0</v>
      </c>
      <c r="E180" s="2">
        <v>0.0</v>
      </c>
    </row>
    <row r="181" ht="15.75" customHeight="1">
      <c r="A181" s="2" t="s">
        <v>66</v>
      </c>
      <c r="B181" s="2" t="s">
        <v>21</v>
      </c>
      <c r="C181" s="2">
        <v>1.0</v>
      </c>
      <c r="D181" s="2">
        <v>0.0</v>
      </c>
      <c r="E181" s="2">
        <v>0.0</v>
      </c>
    </row>
    <row r="182" ht="15.75" customHeight="1">
      <c r="A182" s="2" t="s">
        <v>67</v>
      </c>
      <c r="B182" s="2" t="s">
        <v>16</v>
      </c>
      <c r="C182" s="2">
        <v>0.0</v>
      </c>
      <c r="D182" s="2">
        <v>0.0</v>
      </c>
      <c r="E182" s="2">
        <v>0.0</v>
      </c>
      <c r="F182" s="2" t="s">
        <v>110</v>
      </c>
    </row>
    <row r="183" ht="15.75" customHeight="1">
      <c r="A183" s="2" t="s">
        <v>67</v>
      </c>
      <c r="B183" s="2" t="s">
        <v>16</v>
      </c>
      <c r="C183" s="2">
        <v>0.0</v>
      </c>
      <c r="D183" s="2">
        <v>0.0</v>
      </c>
      <c r="E183" s="2">
        <v>0.0</v>
      </c>
      <c r="F183" s="2" t="s">
        <v>110</v>
      </c>
    </row>
    <row r="184" ht="15.75" customHeight="1">
      <c r="A184" s="2" t="s">
        <v>67</v>
      </c>
      <c r="B184" s="2" t="s">
        <v>16</v>
      </c>
      <c r="C184" s="2">
        <v>0.0</v>
      </c>
      <c r="D184" s="2">
        <v>0.0</v>
      </c>
      <c r="E184" s="2">
        <v>0.0</v>
      </c>
      <c r="F184" s="2" t="s">
        <v>110</v>
      </c>
    </row>
    <row r="185" ht="15.75" customHeight="1">
      <c r="A185" s="2" t="s">
        <v>67</v>
      </c>
      <c r="B185" s="2" t="s">
        <v>16</v>
      </c>
      <c r="C185" s="2">
        <v>0.0</v>
      </c>
      <c r="D185" s="2">
        <v>0.0</v>
      </c>
      <c r="E185" s="2">
        <v>0.0</v>
      </c>
      <c r="F185" s="2" t="s">
        <v>110</v>
      </c>
    </row>
    <row r="186" ht="15.75" customHeight="1">
      <c r="A186" s="2" t="s">
        <v>68</v>
      </c>
      <c r="B186" s="2" t="s">
        <v>18</v>
      </c>
      <c r="C186" s="2">
        <v>0.0</v>
      </c>
      <c r="D186" s="2">
        <v>1.0</v>
      </c>
      <c r="E186" s="2">
        <v>0.0</v>
      </c>
    </row>
    <row r="187" ht="15.75" customHeight="1">
      <c r="A187" s="2" t="s">
        <v>68</v>
      </c>
      <c r="B187" s="2" t="s">
        <v>18</v>
      </c>
      <c r="C187" s="2">
        <v>0.0</v>
      </c>
      <c r="D187" s="2">
        <v>1.0</v>
      </c>
      <c r="E187" s="2">
        <v>0.0</v>
      </c>
    </row>
    <row r="188" ht="15.75" customHeight="1">
      <c r="A188" s="2" t="s">
        <v>68</v>
      </c>
      <c r="B188" s="2" t="s">
        <v>18</v>
      </c>
      <c r="C188" s="2">
        <v>0.0</v>
      </c>
      <c r="D188" s="2">
        <v>1.0</v>
      </c>
      <c r="E188" s="2">
        <v>0.0</v>
      </c>
    </row>
    <row r="189" ht="15.75" customHeight="1">
      <c r="A189" s="2" t="s">
        <v>68</v>
      </c>
      <c r="B189" s="2" t="s">
        <v>18</v>
      </c>
      <c r="C189" s="2">
        <v>0.0</v>
      </c>
      <c r="D189" s="2">
        <v>1.0</v>
      </c>
      <c r="E189" s="2">
        <v>0.0</v>
      </c>
    </row>
    <row r="190" ht="15.75" customHeight="1">
      <c r="A190" s="2" t="s">
        <v>69</v>
      </c>
      <c r="B190" s="2" t="s">
        <v>18</v>
      </c>
      <c r="C190" s="2">
        <v>0.0</v>
      </c>
      <c r="D190" s="2">
        <v>1.0</v>
      </c>
      <c r="E190" s="2">
        <v>0.0</v>
      </c>
    </row>
    <row r="191" ht="15.75" customHeight="1">
      <c r="A191" s="2" t="s">
        <v>69</v>
      </c>
      <c r="B191" s="2" t="s">
        <v>18</v>
      </c>
      <c r="C191" s="2">
        <v>0.0</v>
      </c>
      <c r="D191" s="2">
        <v>1.0</v>
      </c>
      <c r="E191" s="2">
        <v>0.0</v>
      </c>
    </row>
    <row r="192" ht="15.75" customHeight="1">
      <c r="A192" s="2" t="s">
        <v>69</v>
      </c>
      <c r="B192" s="2" t="s">
        <v>18</v>
      </c>
      <c r="C192" s="2">
        <v>0.0</v>
      </c>
      <c r="D192" s="2">
        <v>1.0</v>
      </c>
      <c r="E192" s="2">
        <v>0.0</v>
      </c>
    </row>
    <row r="193" ht="15.75" customHeight="1">
      <c r="A193" s="2" t="s">
        <v>69</v>
      </c>
      <c r="B193" s="2" t="s">
        <v>18</v>
      </c>
      <c r="C193" s="2">
        <v>0.0</v>
      </c>
      <c r="D193" s="2">
        <v>1.0</v>
      </c>
      <c r="E193" s="2">
        <v>0.0</v>
      </c>
    </row>
    <row r="194" ht="15.75" customHeight="1">
      <c r="A194" s="2" t="s">
        <v>70</v>
      </c>
      <c r="B194" s="2" t="s">
        <v>16</v>
      </c>
      <c r="C194" s="2">
        <v>0.0</v>
      </c>
      <c r="D194" s="2">
        <v>0.0</v>
      </c>
      <c r="E194" s="2">
        <v>0.0</v>
      </c>
      <c r="F194" s="2" t="s">
        <v>110</v>
      </c>
    </row>
    <row r="195" ht="15.75" customHeight="1">
      <c r="A195" s="2" t="s">
        <v>70</v>
      </c>
      <c r="B195" s="2" t="s">
        <v>16</v>
      </c>
      <c r="C195" s="2">
        <v>0.0</v>
      </c>
      <c r="D195" s="2">
        <v>0.0</v>
      </c>
      <c r="E195" s="2">
        <v>0.0</v>
      </c>
      <c r="F195" s="2" t="s">
        <v>110</v>
      </c>
    </row>
    <row r="196" ht="15.75" customHeight="1">
      <c r="A196" s="2" t="s">
        <v>70</v>
      </c>
      <c r="B196" s="2" t="s">
        <v>16</v>
      </c>
      <c r="C196" s="2">
        <v>0.0</v>
      </c>
      <c r="D196" s="2">
        <v>0.0</v>
      </c>
      <c r="E196" s="2">
        <v>0.0</v>
      </c>
      <c r="F196" s="2" t="s">
        <v>110</v>
      </c>
    </row>
    <row r="197" ht="15.75" customHeight="1">
      <c r="A197" s="2" t="s">
        <v>70</v>
      </c>
      <c r="B197" s="2" t="s">
        <v>16</v>
      </c>
      <c r="C197" s="2">
        <v>0.0</v>
      </c>
      <c r="D197" s="2">
        <v>0.0</v>
      </c>
      <c r="E197" s="2">
        <v>0.0</v>
      </c>
      <c r="F197" s="2" t="s">
        <v>110</v>
      </c>
    </row>
    <row r="198" ht="15.75" customHeight="1">
      <c r="A198" s="2" t="s">
        <v>71</v>
      </c>
      <c r="B198" s="2" t="s">
        <v>16</v>
      </c>
      <c r="C198" s="2">
        <v>0.0</v>
      </c>
      <c r="D198" s="2">
        <v>0.0</v>
      </c>
      <c r="E198" s="2">
        <v>0.0</v>
      </c>
      <c r="F198" s="2" t="s">
        <v>110</v>
      </c>
    </row>
    <row r="199" ht="15.75" customHeight="1">
      <c r="A199" s="2" t="s">
        <v>71</v>
      </c>
      <c r="B199" s="2" t="s">
        <v>16</v>
      </c>
      <c r="C199" s="2">
        <v>0.0</v>
      </c>
      <c r="D199" s="2">
        <v>0.0</v>
      </c>
      <c r="E199" s="2">
        <v>0.0</v>
      </c>
      <c r="F199" s="2" t="s">
        <v>110</v>
      </c>
    </row>
    <row r="200" ht="15.75" customHeight="1">
      <c r="A200" s="2" t="s">
        <v>71</v>
      </c>
      <c r="B200" s="2" t="s">
        <v>16</v>
      </c>
      <c r="C200" s="2">
        <v>0.0</v>
      </c>
      <c r="D200" s="2">
        <v>0.0</v>
      </c>
      <c r="E200" s="2">
        <v>0.0</v>
      </c>
      <c r="F200" s="2" t="s">
        <v>110</v>
      </c>
    </row>
    <row r="201" ht="15.75" customHeight="1">
      <c r="A201" s="2" t="s">
        <v>71</v>
      </c>
      <c r="B201" s="2" t="s">
        <v>16</v>
      </c>
      <c r="C201" s="2">
        <v>0.0</v>
      </c>
      <c r="D201" s="2">
        <v>0.0</v>
      </c>
      <c r="E201" s="2">
        <v>0.0</v>
      </c>
      <c r="F201" s="2" t="s">
        <v>110</v>
      </c>
    </row>
    <row r="202" ht="15.75" customHeight="1">
      <c r="A202" s="2" t="s">
        <v>72</v>
      </c>
      <c r="B202" s="2" t="s">
        <v>21</v>
      </c>
      <c r="C202" s="2">
        <v>1.0</v>
      </c>
      <c r="D202" s="2">
        <v>0.0</v>
      </c>
      <c r="E202" s="2">
        <v>0.0</v>
      </c>
    </row>
    <row r="203" ht="15.75" customHeight="1">
      <c r="A203" s="2" t="s">
        <v>72</v>
      </c>
      <c r="B203" s="2" t="s">
        <v>21</v>
      </c>
      <c r="C203" s="2">
        <v>1.0</v>
      </c>
      <c r="D203" s="2">
        <v>0.0</v>
      </c>
      <c r="E203" s="2">
        <v>0.0</v>
      </c>
    </row>
    <row r="204" ht="15.75" customHeight="1">
      <c r="A204" s="2" t="s">
        <v>72</v>
      </c>
      <c r="B204" s="2" t="s">
        <v>21</v>
      </c>
      <c r="C204" s="2">
        <v>1.0</v>
      </c>
      <c r="D204" s="2">
        <v>0.0</v>
      </c>
      <c r="E204" s="2">
        <v>0.0</v>
      </c>
    </row>
    <row r="205" ht="15.75" customHeight="1">
      <c r="A205" s="2" t="s">
        <v>72</v>
      </c>
      <c r="B205" s="2" t="s">
        <v>21</v>
      </c>
      <c r="C205" s="2">
        <v>1.0</v>
      </c>
      <c r="D205" s="2">
        <v>0.0</v>
      </c>
      <c r="E205" s="2">
        <v>0.0</v>
      </c>
    </row>
    <row r="206" ht="15.75" customHeight="1">
      <c r="A206" s="2" t="s">
        <v>73</v>
      </c>
      <c r="B206" s="2" t="s">
        <v>28</v>
      </c>
      <c r="C206" s="2">
        <v>0.0</v>
      </c>
      <c r="D206" s="2">
        <v>0.0</v>
      </c>
      <c r="E206" s="2">
        <v>1.0</v>
      </c>
    </row>
    <row r="207" ht="15.75" customHeight="1">
      <c r="A207" s="2" t="s">
        <v>73</v>
      </c>
      <c r="B207" s="2" t="s">
        <v>28</v>
      </c>
      <c r="C207" s="2">
        <v>0.0</v>
      </c>
      <c r="D207" s="2">
        <v>0.0</v>
      </c>
      <c r="E207" s="2">
        <v>1.0</v>
      </c>
    </row>
    <row r="208" ht="15.75" customHeight="1">
      <c r="A208" s="2" t="s">
        <v>73</v>
      </c>
      <c r="B208" s="2" t="s">
        <v>28</v>
      </c>
      <c r="C208" s="2">
        <v>0.0</v>
      </c>
      <c r="D208" s="2">
        <v>0.0</v>
      </c>
      <c r="E208" s="2">
        <v>1.0</v>
      </c>
    </row>
    <row r="209" ht="15.75" customHeight="1">
      <c r="A209" s="2" t="s">
        <v>73</v>
      </c>
      <c r="B209" s="2" t="s">
        <v>28</v>
      </c>
      <c r="C209" s="2">
        <v>0.0</v>
      </c>
      <c r="D209" s="2">
        <v>0.0</v>
      </c>
      <c r="E209" s="2">
        <v>1.0</v>
      </c>
    </row>
    <row r="210" ht="15.75" customHeight="1">
      <c r="A210" s="2" t="s">
        <v>74</v>
      </c>
      <c r="B210" s="2" t="s">
        <v>18</v>
      </c>
      <c r="C210" s="2">
        <v>0.0</v>
      </c>
      <c r="D210" s="2">
        <v>1.0</v>
      </c>
      <c r="E210" s="2">
        <v>0.0</v>
      </c>
    </row>
    <row r="211" ht="15.75" customHeight="1">
      <c r="A211" s="2" t="s">
        <v>74</v>
      </c>
      <c r="B211" s="2" t="s">
        <v>18</v>
      </c>
      <c r="C211" s="2">
        <v>0.0</v>
      </c>
      <c r="D211" s="2">
        <v>1.0</v>
      </c>
      <c r="E211" s="2">
        <v>0.0</v>
      </c>
    </row>
    <row r="212" ht="15.75" customHeight="1">
      <c r="A212" s="2" t="s">
        <v>74</v>
      </c>
      <c r="B212" s="2" t="s">
        <v>18</v>
      </c>
      <c r="C212" s="2">
        <v>0.0</v>
      </c>
      <c r="D212" s="2">
        <v>1.0</v>
      </c>
      <c r="E212" s="2">
        <v>0.0</v>
      </c>
    </row>
    <row r="213" ht="15.75" customHeight="1">
      <c r="A213" s="2" t="s">
        <v>74</v>
      </c>
      <c r="B213" s="2" t="s">
        <v>18</v>
      </c>
      <c r="C213" s="2">
        <v>0.0</v>
      </c>
      <c r="D213" s="2">
        <v>1.0</v>
      </c>
      <c r="E213" s="2">
        <v>0.0</v>
      </c>
    </row>
    <row r="214" ht="15.75" customHeight="1">
      <c r="A214" s="2" t="s">
        <v>75</v>
      </c>
      <c r="B214" s="2" t="s">
        <v>16</v>
      </c>
      <c r="C214" s="2">
        <v>0.0</v>
      </c>
      <c r="D214" s="2">
        <v>0.0</v>
      </c>
      <c r="E214" s="2">
        <v>0.0</v>
      </c>
      <c r="F214" s="2" t="s">
        <v>110</v>
      </c>
    </row>
    <row r="215" ht="15.75" customHeight="1">
      <c r="A215" s="2" t="s">
        <v>75</v>
      </c>
      <c r="B215" s="2" t="s">
        <v>16</v>
      </c>
      <c r="C215" s="2">
        <v>0.0</v>
      </c>
      <c r="D215" s="2">
        <v>0.0</v>
      </c>
      <c r="E215" s="2">
        <v>0.0</v>
      </c>
      <c r="F215" s="2" t="s">
        <v>110</v>
      </c>
    </row>
    <row r="216" ht="15.75" customHeight="1">
      <c r="A216" s="2" t="s">
        <v>75</v>
      </c>
      <c r="B216" s="2" t="s">
        <v>16</v>
      </c>
      <c r="C216" s="2">
        <v>0.0</v>
      </c>
      <c r="D216" s="2">
        <v>0.0</v>
      </c>
      <c r="E216" s="2">
        <v>0.0</v>
      </c>
      <c r="F216" s="2" t="s">
        <v>110</v>
      </c>
    </row>
    <row r="217" ht="15.75" customHeight="1">
      <c r="A217" s="2" t="s">
        <v>75</v>
      </c>
      <c r="B217" s="2" t="s">
        <v>16</v>
      </c>
      <c r="C217" s="2">
        <v>0.0</v>
      </c>
      <c r="D217" s="2">
        <v>0.0</v>
      </c>
      <c r="E217" s="2">
        <v>0.0</v>
      </c>
      <c r="F217" s="2" t="s">
        <v>110</v>
      </c>
    </row>
    <row r="218" ht="15.75" customHeight="1">
      <c r="A218" s="2" t="s">
        <v>76</v>
      </c>
      <c r="B218" s="2" t="s">
        <v>21</v>
      </c>
      <c r="C218" s="2">
        <v>1.0</v>
      </c>
      <c r="D218" s="2">
        <v>0.0</v>
      </c>
      <c r="E218" s="2">
        <v>0.0</v>
      </c>
    </row>
    <row r="219" ht="15.75" customHeight="1">
      <c r="A219" s="2" t="s">
        <v>76</v>
      </c>
      <c r="B219" s="2" t="s">
        <v>21</v>
      </c>
      <c r="C219" s="2">
        <v>1.0</v>
      </c>
      <c r="D219" s="2">
        <v>0.0</v>
      </c>
      <c r="E219" s="2">
        <v>0.0</v>
      </c>
    </row>
    <row r="220" ht="15.75" customHeight="1">
      <c r="A220" s="2" t="s">
        <v>76</v>
      </c>
      <c r="B220" s="2" t="s">
        <v>21</v>
      </c>
      <c r="C220" s="2">
        <v>1.0</v>
      </c>
      <c r="D220" s="2">
        <v>0.0</v>
      </c>
      <c r="E220" s="2">
        <v>0.0</v>
      </c>
    </row>
    <row r="221" ht="15.75" customHeight="1">
      <c r="A221" s="2" t="s">
        <v>76</v>
      </c>
      <c r="B221" s="2" t="s">
        <v>21</v>
      </c>
      <c r="C221" s="2">
        <v>1.0</v>
      </c>
      <c r="D221" s="2">
        <v>0.0</v>
      </c>
      <c r="E221" s="2">
        <v>0.0</v>
      </c>
    </row>
    <row r="222" ht="15.75" customHeight="1">
      <c r="A222" s="2" t="s">
        <v>77</v>
      </c>
      <c r="B222" s="2" t="s">
        <v>18</v>
      </c>
      <c r="C222" s="2">
        <v>0.0</v>
      </c>
      <c r="D222" s="2">
        <v>1.0</v>
      </c>
      <c r="E222" s="2">
        <v>0.0</v>
      </c>
    </row>
    <row r="223" ht="15.75" customHeight="1">
      <c r="A223" s="2" t="s">
        <v>77</v>
      </c>
      <c r="B223" s="2" t="s">
        <v>18</v>
      </c>
      <c r="C223" s="2">
        <v>0.0</v>
      </c>
      <c r="D223" s="2">
        <v>1.0</v>
      </c>
      <c r="E223" s="2">
        <v>0.0</v>
      </c>
    </row>
    <row r="224" ht="15.75" customHeight="1">
      <c r="A224" s="2" t="s">
        <v>77</v>
      </c>
      <c r="B224" s="2" t="s">
        <v>18</v>
      </c>
      <c r="C224" s="2">
        <v>0.0</v>
      </c>
      <c r="D224" s="2">
        <v>1.0</v>
      </c>
      <c r="E224" s="2">
        <v>0.0</v>
      </c>
    </row>
    <row r="225" ht="15.75" customHeight="1">
      <c r="A225" s="2" t="s">
        <v>77</v>
      </c>
      <c r="B225" s="2" t="s">
        <v>18</v>
      </c>
      <c r="C225" s="2">
        <v>0.0</v>
      </c>
      <c r="D225" s="2">
        <v>1.0</v>
      </c>
      <c r="E225" s="2">
        <v>0.0</v>
      </c>
    </row>
    <row r="226" ht="15.75" customHeight="1">
      <c r="A226" s="2" t="s">
        <v>78</v>
      </c>
      <c r="B226" s="2" t="s">
        <v>28</v>
      </c>
      <c r="C226" s="2">
        <v>0.0</v>
      </c>
      <c r="D226" s="2">
        <v>0.0</v>
      </c>
      <c r="E226" s="2">
        <v>1.0</v>
      </c>
    </row>
    <row r="227" ht="15.75" customHeight="1">
      <c r="A227" s="2" t="s">
        <v>78</v>
      </c>
      <c r="B227" s="2" t="s">
        <v>28</v>
      </c>
      <c r="C227" s="2">
        <v>0.0</v>
      </c>
      <c r="D227" s="2">
        <v>0.0</v>
      </c>
      <c r="E227" s="2">
        <v>1.0</v>
      </c>
    </row>
    <row r="228" ht="15.75" customHeight="1">
      <c r="A228" s="2" t="s">
        <v>78</v>
      </c>
      <c r="B228" s="2" t="s">
        <v>28</v>
      </c>
      <c r="C228" s="2">
        <v>0.0</v>
      </c>
      <c r="D228" s="2">
        <v>0.0</v>
      </c>
      <c r="E228" s="2">
        <v>1.0</v>
      </c>
    </row>
    <row r="229" ht="15.75" customHeight="1">
      <c r="A229" s="2" t="s">
        <v>78</v>
      </c>
      <c r="B229" s="2" t="s">
        <v>28</v>
      </c>
      <c r="C229" s="2">
        <v>0.0</v>
      </c>
      <c r="D229" s="2">
        <v>0.0</v>
      </c>
      <c r="E229" s="2">
        <v>1.0</v>
      </c>
    </row>
    <row r="230" ht="15.75" customHeight="1">
      <c r="A230" s="2" t="s">
        <v>79</v>
      </c>
      <c r="B230" s="2" t="s">
        <v>18</v>
      </c>
      <c r="C230" s="2">
        <v>0.0</v>
      </c>
      <c r="D230" s="2">
        <v>1.0</v>
      </c>
      <c r="E230" s="2">
        <v>0.0</v>
      </c>
    </row>
    <row r="231" ht="15.75" customHeight="1">
      <c r="A231" s="2" t="s">
        <v>79</v>
      </c>
      <c r="B231" s="2" t="s">
        <v>18</v>
      </c>
      <c r="C231" s="2">
        <v>0.0</v>
      </c>
      <c r="D231" s="2">
        <v>1.0</v>
      </c>
      <c r="E231" s="2">
        <v>0.0</v>
      </c>
    </row>
    <row r="232" ht="15.75" customHeight="1">
      <c r="A232" s="2" t="s">
        <v>79</v>
      </c>
      <c r="B232" s="2" t="s">
        <v>18</v>
      </c>
      <c r="C232" s="2">
        <v>0.0</v>
      </c>
      <c r="D232" s="2">
        <v>1.0</v>
      </c>
      <c r="E232" s="2">
        <v>0.0</v>
      </c>
    </row>
    <row r="233" ht="15.75" customHeight="1">
      <c r="A233" s="2" t="s">
        <v>79</v>
      </c>
      <c r="B233" s="2" t="s">
        <v>18</v>
      </c>
      <c r="C233" s="2">
        <v>0.0</v>
      </c>
      <c r="D233" s="2">
        <v>1.0</v>
      </c>
      <c r="E233" s="2">
        <v>0.0</v>
      </c>
    </row>
    <row r="234" ht="15.75" customHeight="1">
      <c r="A234" s="2" t="s">
        <v>80</v>
      </c>
      <c r="B234" s="2" t="s">
        <v>16</v>
      </c>
      <c r="C234" s="2">
        <v>0.0</v>
      </c>
      <c r="D234" s="2">
        <v>0.0</v>
      </c>
      <c r="E234" s="2">
        <v>0.0</v>
      </c>
      <c r="F234" s="2" t="s">
        <v>110</v>
      </c>
    </row>
    <row r="235" ht="15.75" customHeight="1">
      <c r="A235" s="2" t="s">
        <v>80</v>
      </c>
      <c r="B235" s="2" t="s">
        <v>16</v>
      </c>
      <c r="C235" s="2">
        <v>0.0</v>
      </c>
      <c r="D235" s="2">
        <v>0.0</v>
      </c>
      <c r="E235" s="2">
        <v>0.0</v>
      </c>
      <c r="F235" s="2" t="s">
        <v>110</v>
      </c>
    </row>
    <row r="236" ht="15.75" customHeight="1">
      <c r="A236" s="2" t="s">
        <v>80</v>
      </c>
      <c r="B236" s="2" t="s">
        <v>16</v>
      </c>
      <c r="C236" s="2">
        <v>0.0</v>
      </c>
      <c r="D236" s="2">
        <v>0.0</v>
      </c>
      <c r="E236" s="2">
        <v>0.0</v>
      </c>
      <c r="F236" s="2" t="s">
        <v>110</v>
      </c>
    </row>
    <row r="237" ht="15.75" customHeight="1">
      <c r="A237" s="2" t="s">
        <v>80</v>
      </c>
      <c r="B237" s="2" t="s">
        <v>16</v>
      </c>
      <c r="C237" s="2">
        <v>0.0</v>
      </c>
      <c r="D237" s="2">
        <v>0.0</v>
      </c>
      <c r="E237" s="2">
        <v>0.0</v>
      </c>
      <c r="F237" s="2" t="s">
        <v>110</v>
      </c>
    </row>
    <row r="238" ht="15.75" customHeight="1">
      <c r="A238" s="2" t="s">
        <v>81</v>
      </c>
      <c r="B238" s="2" t="s">
        <v>28</v>
      </c>
      <c r="C238" s="2">
        <v>0.0</v>
      </c>
      <c r="D238" s="2">
        <v>0.0</v>
      </c>
      <c r="E238" s="2">
        <v>1.0</v>
      </c>
    </row>
    <row r="239" ht="15.75" customHeight="1">
      <c r="A239" s="2" t="s">
        <v>81</v>
      </c>
      <c r="B239" s="2" t="s">
        <v>28</v>
      </c>
      <c r="C239" s="2">
        <v>0.0</v>
      </c>
      <c r="D239" s="2">
        <v>0.0</v>
      </c>
      <c r="E239" s="2">
        <v>1.0</v>
      </c>
    </row>
    <row r="240" ht="15.75" customHeight="1">
      <c r="A240" s="2" t="s">
        <v>81</v>
      </c>
      <c r="B240" s="2" t="s">
        <v>28</v>
      </c>
      <c r="C240" s="2">
        <v>0.0</v>
      </c>
      <c r="D240" s="2">
        <v>0.0</v>
      </c>
      <c r="E240" s="2">
        <v>1.0</v>
      </c>
    </row>
    <row r="241" ht="15.75" customHeight="1">
      <c r="A241" s="2" t="s">
        <v>81</v>
      </c>
      <c r="B241" s="2" t="s">
        <v>28</v>
      </c>
      <c r="C241" s="2">
        <v>0.0</v>
      </c>
      <c r="D241" s="2">
        <v>0.0</v>
      </c>
      <c r="E241" s="2">
        <v>1.0</v>
      </c>
    </row>
    <row r="242" ht="15.75" customHeight="1">
      <c r="A242" s="2" t="s">
        <v>82</v>
      </c>
      <c r="B242" s="2" t="s">
        <v>21</v>
      </c>
      <c r="C242" s="2">
        <v>1.0</v>
      </c>
      <c r="D242" s="2">
        <v>0.0</v>
      </c>
      <c r="E242" s="2">
        <v>0.0</v>
      </c>
    </row>
    <row r="243" ht="15.75" customHeight="1">
      <c r="A243" s="2" t="s">
        <v>82</v>
      </c>
      <c r="B243" s="2" t="s">
        <v>21</v>
      </c>
      <c r="C243" s="2">
        <v>1.0</v>
      </c>
      <c r="D243" s="2">
        <v>0.0</v>
      </c>
      <c r="E243" s="2">
        <v>0.0</v>
      </c>
    </row>
    <row r="244" ht="15.75" customHeight="1">
      <c r="A244" s="2" t="s">
        <v>82</v>
      </c>
      <c r="B244" s="2" t="s">
        <v>21</v>
      </c>
      <c r="C244" s="2">
        <v>1.0</v>
      </c>
      <c r="D244" s="2">
        <v>0.0</v>
      </c>
      <c r="E244" s="2">
        <v>0.0</v>
      </c>
    </row>
    <row r="245" ht="15.75" customHeight="1">
      <c r="A245" s="2" t="s">
        <v>82</v>
      </c>
      <c r="B245" s="2" t="s">
        <v>21</v>
      </c>
      <c r="C245" s="2">
        <v>1.0</v>
      </c>
      <c r="D245" s="2">
        <v>0.0</v>
      </c>
      <c r="E245" s="2">
        <v>0.0</v>
      </c>
    </row>
    <row r="246" ht="15.75" customHeight="1">
      <c r="A246" s="2" t="s">
        <v>83</v>
      </c>
      <c r="B246" s="2" t="s">
        <v>18</v>
      </c>
      <c r="C246" s="2">
        <v>0.0</v>
      </c>
      <c r="D246" s="2">
        <v>1.0</v>
      </c>
      <c r="E246" s="2">
        <v>0.0</v>
      </c>
    </row>
    <row r="247" ht="15.75" customHeight="1">
      <c r="A247" s="2" t="s">
        <v>83</v>
      </c>
      <c r="B247" s="2" t="s">
        <v>18</v>
      </c>
      <c r="C247" s="2">
        <v>0.0</v>
      </c>
      <c r="D247" s="2">
        <v>1.0</v>
      </c>
      <c r="E247" s="2">
        <v>0.0</v>
      </c>
    </row>
    <row r="248" ht="15.75" customHeight="1">
      <c r="A248" s="2" t="s">
        <v>83</v>
      </c>
      <c r="B248" s="2" t="s">
        <v>18</v>
      </c>
      <c r="C248" s="2">
        <v>0.0</v>
      </c>
      <c r="D248" s="2">
        <v>1.0</v>
      </c>
      <c r="E248" s="2">
        <v>0.0</v>
      </c>
    </row>
    <row r="249" ht="15.75" customHeight="1">
      <c r="A249" s="2" t="s">
        <v>83</v>
      </c>
      <c r="B249" s="2" t="s">
        <v>18</v>
      </c>
      <c r="C249" s="2">
        <v>0.0</v>
      </c>
      <c r="D249" s="2">
        <v>1.0</v>
      </c>
      <c r="E249" s="2">
        <v>0.0</v>
      </c>
    </row>
    <row r="250" ht="15.75" customHeight="1">
      <c r="A250" s="2" t="s">
        <v>84</v>
      </c>
      <c r="B250" s="2" t="s">
        <v>18</v>
      </c>
      <c r="C250" s="2">
        <v>0.0</v>
      </c>
      <c r="D250" s="2">
        <v>1.0</v>
      </c>
      <c r="E250" s="2">
        <v>0.0</v>
      </c>
    </row>
    <row r="251" ht="15.75" customHeight="1">
      <c r="A251" s="2" t="s">
        <v>84</v>
      </c>
      <c r="B251" s="2" t="s">
        <v>18</v>
      </c>
      <c r="C251" s="2">
        <v>0.0</v>
      </c>
      <c r="D251" s="2">
        <v>1.0</v>
      </c>
      <c r="E251" s="2">
        <v>0.0</v>
      </c>
    </row>
    <row r="252" ht="15.75" customHeight="1">
      <c r="A252" s="2" t="s">
        <v>84</v>
      </c>
      <c r="B252" s="2" t="s">
        <v>18</v>
      </c>
      <c r="C252" s="2">
        <v>0.0</v>
      </c>
      <c r="D252" s="2">
        <v>1.0</v>
      </c>
      <c r="E252" s="2">
        <v>0.0</v>
      </c>
    </row>
    <row r="253" ht="15.75" customHeight="1">
      <c r="A253" s="2" t="s">
        <v>84</v>
      </c>
      <c r="B253" s="2" t="s">
        <v>18</v>
      </c>
      <c r="C253" s="2">
        <v>0.0</v>
      </c>
      <c r="D253" s="2">
        <v>1.0</v>
      </c>
      <c r="E253" s="2">
        <v>0.0</v>
      </c>
    </row>
    <row r="254" ht="15.75" customHeight="1">
      <c r="A254" s="2" t="s">
        <v>85</v>
      </c>
      <c r="B254" s="2" t="s">
        <v>21</v>
      </c>
      <c r="C254" s="2">
        <v>1.0</v>
      </c>
      <c r="D254" s="2">
        <v>0.0</v>
      </c>
      <c r="E254" s="2">
        <v>0.0</v>
      </c>
    </row>
    <row r="255" ht="15.75" customHeight="1">
      <c r="A255" s="2" t="s">
        <v>85</v>
      </c>
      <c r="B255" s="2" t="s">
        <v>21</v>
      </c>
      <c r="C255" s="2">
        <v>1.0</v>
      </c>
      <c r="D255" s="2">
        <v>0.0</v>
      </c>
      <c r="E255" s="2">
        <v>0.0</v>
      </c>
    </row>
    <row r="256" ht="15.75" customHeight="1">
      <c r="A256" s="2" t="s">
        <v>85</v>
      </c>
      <c r="B256" s="2" t="s">
        <v>21</v>
      </c>
      <c r="C256" s="2">
        <v>1.0</v>
      </c>
      <c r="D256" s="2">
        <v>0.0</v>
      </c>
      <c r="E256" s="2">
        <v>0.0</v>
      </c>
    </row>
    <row r="257" ht="15.75" customHeight="1">
      <c r="A257" s="2" t="s">
        <v>85</v>
      </c>
      <c r="B257" s="2" t="s">
        <v>21</v>
      </c>
      <c r="C257" s="2">
        <v>1.0</v>
      </c>
      <c r="D257" s="2">
        <v>0.0</v>
      </c>
      <c r="E257" s="2">
        <v>0.0</v>
      </c>
    </row>
    <row r="258" ht="15.75" customHeight="1">
      <c r="A258" s="2" t="s">
        <v>86</v>
      </c>
      <c r="B258" s="2" t="s">
        <v>28</v>
      </c>
      <c r="C258" s="2">
        <v>0.0</v>
      </c>
      <c r="D258" s="2">
        <v>0.0</v>
      </c>
      <c r="E258" s="2">
        <v>1.0</v>
      </c>
    </row>
    <row r="259" ht="15.75" customHeight="1">
      <c r="A259" s="2" t="s">
        <v>86</v>
      </c>
      <c r="B259" s="2" t="s">
        <v>28</v>
      </c>
      <c r="C259" s="2">
        <v>0.0</v>
      </c>
      <c r="D259" s="2">
        <v>0.0</v>
      </c>
      <c r="E259" s="2">
        <v>1.0</v>
      </c>
    </row>
    <row r="260" ht="15.75" customHeight="1">
      <c r="A260" s="2" t="s">
        <v>86</v>
      </c>
      <c r="B260" s="2" t="s">
        <v>28</v>
      </c>
      <c r="C260" s="2">
        <v>0.0</v>
      </c>
      <c r="D260" s="2">
        <v>0.0</v>
      </c>
      <c r="E260" s="2">
        <v>1.0</v>
      </c>
    </row>
    <row r="261" ht="15.75" customHeight="1">
      <c r="A261" s="2" t="s">
        <v>86</v>
      </c>
      <c r="B261" s="2" t="s">
        <v>28</v>
      </c>
      <c r="C261" s="2">
        <v>0.0</v>
      </c>
      <c r="D261" s="2">
        <v>0.0</v>
      </c>
      <c r="E261" s="2">
        <v>1.0</v>
      </c>
    </row>
    <row r="262" ht="15.75" customHeight="1">
      <c r="A262" s="2" t="s">
        <v>87</v>
      </c>
      <c r="B262" s="2" t="s">
        <v>18</v>
      </c>
      <c r="C262" s="2">
        <v>0.0</v>
      </c>
      <c r="D262" s="2">
        <v>1.0</v>
      </c>
      <c r="E262" s="2">
        <v>0.0</v>
      </c>
    </row>
    <row r="263" ht="15.75" customHeight="1">
      <c r="A263" s="2" t="s">
        <v>87</v>
      </c>
      <c r="B263" s="2" t="s">
        <v>18</v>
      </c>
      <c r="C263" s="2">
        <v>0.0</v>
      </c>
      <c r="D263" s="2">
        <v>1.0</v>
      </c>
      <c r="E263" s="2">
        <v>0.0</v>
      </c>
    </row>
    <row r="264" ht="15.75" customHeight="1">
      <c r="A264" s="2" t="s">
        <v>87</v>
      </c>
      <c r="B264" s="2" t="s">
        <v>18</v>
      </c>
      <c r="C264" s="2">
        <v>0.0</v>
      </c>
      <c r="D264" s="2">
        <v>1.0</v>
      </c>
      <c r="E264" s="2">
        <v>0.0</v>
      </c>
    </row>
    <row r="265" ht="15.75" customHeight="1">
      <c r="A265" s="2" t="s">
        <v>87</v>
      </c>
      <c r="B265" s="2" t="s">
        <v>18</v>
      </c>
      <c r="C265" s="2">
        <v>0.0</v>
      </c>
      <c r="D265" s="2">
        <v>1.0</v>
      </c>
      <c r="E265" s="2">
        <v>0.0</v>
      </c>
    </row>
    <row r="266" ht="15.75" customHeight="1">
      <c r="A266" s="2" t="s">
        <v>88</v>
      </c>
      <c r="B266" s="2" t="s">
        <v>18</v>
      </c>
      <c r="C266" s="2">
        <v>0.0</v>
      </c>
      <c r="D266" s="2">
        <v>1.0</v>
      </c>
      <c r="E266" s="2">
        <v>0.0</v>
      </c>
    </row>
    <row r="267" ht="15.75" customHeight="1">
      <c r="A267" s="2" t="s">
        <v>88</v>
      </c>
      <c r="B267" s="2" t="s">
        <v>18</v>
      </c>
      <c r="C267" s="2">
        <v>0.0</v>
      </c>
      <c r="D267" s="2">
        <v>1.0</v>
      </c>
      <c r="E267" s="2">
        <v>0.0</v>
      </c>
    </row>
    <row r="268" ht="15.75" customHeight="1">
      <c r="A268" s="2" t="s">
        <v>88</v>
      </c>
      <c r="B268" s="2" t="s">
        <v>18</v>
      </c>
      <c r="C268" s="2">
        <v>0.0</v>
      </c>
      <c r="D268" s="2">
        <v>1.0</v>
      </c>
      <c r="E268" s="2">
        <v>0.0</v>
      </c>
    </row>
    <row r="269" ht="15.75" customHeight="1">
      <c r="A269" s="2" t="s">
        <v>88</v>
      </c>
      <c r="B269" s="2" t="s">
        <v>18</v>
      </c>
      <c r="C269" s="2">
        <v>0.0</v>
      </c>
      <c r="D269" s="2">
        <v>1.0</v>
      </c>
      <c r="E269" s="2">
        <v>0.0</v>
      </c>
    </row>
    <row r="270" ht="15.75" customHeight="1">
      <c r="A270" s="2" t="s">
        <v>89</v>
      </c>
      <c r="B270" s="2" t="s">
        <v>28</v>
      </c>
      <c r="C270" s="2">
        <v>0.0</v>
      </c>
      <c r="D270" s="2">
        <v>0.0</v>
      </c>
      <c r="E270" s="2">
        <v>1.0</v>
      </c>
    </row>
    <row r="271" ht="15.75" customHeight="1">
      <c r="A271" s="2" t="s">
        <v>89</v>
      </c>
      <c r="B271" s="2" t="s">
        <v>28</v>
      </c>
      <c r="C271" s="2">
        <v>0.0</v>
      </c>
      <c r="D271" s="2">
        <v>0.0</v>
      </c>
      <c r="E271" s="2">
        <v>1.0</v>
      </c>
    </row>
    <row r="272" ht="15.75" customHeight="1">
      <c r="A272" s="2" t="s">
        <v>89</v>
      </c>
      <c r="B272" s="2" t="s">
        <v>28</v>
      </c>
      <c r="C272" s="2">
        <v>0.0</v>
      </c>
      <c r="D272" s="2">
        <v>0.0</v>
      </c>
      <c r="E272" s="2">
        <v>1.0</v>
      </c>
    </row>
    <row r="273" ht="15.75" customHeight="1">
      <c r="A273" s="2" t="s">
        <v>89</v>
      </c>
      <c r="B273" s="2" t="s">
        <v>28</v>
      </c>
      <c r="C273" s="2">
        <v>0.0</v>
      </c>
      <c r="D273" s="2">
        <v>0.0</v>
      </c>
      <c r="E273" s="2">
        <v>1.0</v>
      </c>
    </row>
    <row r="274" ht="15.75" customHeight="1">
      <c r="A274" s="2" t="s">
        <v>90</v>
      </c>
      <c r="B274" s="2" t="s">
        <v>18</v>
      </c>
      <c r="C274" s="2">
        <v>0.0</v>
      </c>
      <c r="D274" s="2">
        <v>1.0</v>
      </c>
      <c r="E274" s="2">
        <v>0.0</v>
      </c>
    </row>
    <row r="275" ht="15.75" customHeight="1">
      <c r="A275" s="2" t="s">
        <v>90</v>
      </c>
      <c r="B275" s="2" t="s">
        <v>18</v>
      </c>
      <c r="C275" s="2">
        <v>0.0</v>
      </c>
      <c r="D275" s="2">
        <v>1.0</v>
      </c>
      <c r="E275" s="2">
        <v>0.0</v>
      </c>
    </row>
    <row r="276" ht="15.75" customHeight="1">
      <c r="A276" s="2" t="s">
        <v>90</v>
      </c>
      <c r="B276" s="2" t="s">
        <v>18</v>
      </c>
      <c r="C276" s="2">
        <v>0.0</v>
      </c>
      <c r="D276" s="2">
        <v>1.0</v>
      </c>
      <c r="E276" s="2">
        <v>0.0</v>
      </c>
    </row>
    <row r="277" ht="15.75" customHeight="1">
      <c r="A277" s="2" t="s">
        <v>90</v>
      </c>
      <c r="B277" s="2" t="s">
        <v>18</v>
      </c>
      <c r="C277" s="2">
        <v>0.0</v>
      </c>
      <c r="D277" s="2">
        <v>1.0</v>
      </c>
      <c r="E277" s="2">
        <v>0.0</v>
      </c>
    </row>
    <row r="278" ht="15.75" customHeight="1">
      <c r="A278" s="2" t="s">
        <v>91</v>
      </c>
      <c r="B278" s="2" t="s">
        <v>16</v>
      </c>
      <c r="C278" s="2">
        <v>0.0</v>
      </c>
      <c r="D278" s="2">
        <v>0.0</v>
      </c>
      <c r="E278" s="2">
        <v>0.0</v>
      </c>
      <c r="F278" s="2" t="s">
        <v>110</v>
      </c>
    </row>
    <row r="279" ht="15.75" customHeight="1">
      <c r="A279" s="2" t="s">
        <v>91</v>
      </c>
      <c r="B279" s="2" t="s">
        <v>16</v>
      </c>
      <c r="C279" s="2">
        <v>0.0</v>
      </c>
      <c r="D279" s="2">
        <v>0.0</v>
      </c>
      <c r="E279" s="2">
        <v>0.0</v>
      </c>
      <c r="F279" s="2" t="s">
        <v>110</v>
      </c>
    </row>
    <row r="280" ht="15.75" customHeight="1">
      <c r="A280" s="2" t="s">
        <v>91</v>
      </c>
      <c r="B280" s="2" t="s">
        <v>16</v>
      </c>
      <c r="C280" s="2">
        <v>0.0</v>
      </c>
      <c r="D280" s="2">
        <v>0.0</v>
      </c>
      <c r="E280" s="2">
        <v>0.0</v>
      </c>
      <c r="F280" s="2" t="s">
        <v>110</v>
      </c>
    </row>
    <row r="281" ht="15.75" customHeight="1">
      <c r="A281" s="2" t="s">
        <v>91</v>
      </c>
      <c r="B281" s="2" t="s">
        <v>16</v>
      </c>
      <c r="C281" s="2">
        <v>0.0</v>
      </c>
      <c r="D281" s="2">
        <v>0.0</v>
      </c>
      <c r="E281" s="2">
        <v>0.0</v>
      </c>
      <c r="F281" s="2" t="s">
        <v>110</v>
      </c>
    </row>
    <row r="282" ht="15.75" customHeight="1">
      <c r="A282" s="2" t="s">
        <v>92</v>
      </c>
      <c r="B282" s="2" t="s">
        <v>18</v>
      </c>
      <c r="C282" s="2">
        <v>0.0</v>
      </c>
      <c r="D282" s="2">
        <v>1.0</v>
      </c>
      <c r="E282" s="2">
        <v>0.0</v>
      </c>
    </row>
    <row r="283" ht="15.75" customHeight="1">
      <c r="A283" s="2" t="s">
        <v>92</v>
      </c>
      <c r="B283" s="2" t="s">
        <v>18</v>
      </c>
      <c r="C283" s="2">
        <v>0.0</v>
      </c>
      <c r="D283" s="2">
        <v>1.0</v>
      </c>
      <c r="E283" s="2">
        <v>0.0</v>
      </c>
    </row>
    <row r="284" ht="15.75" customHeight="1">
      <c r="A284" s="2" t="s">
        <v>92</v>
      </c>
      <c r="B284" s="2" t="s">
        <v>18</v>
      </c>
      <c r="C284" s="2">
        <v>0.0</v>
      </c>
      <c r="D284" s="2">
        <v>1.0</v>
      </c>
      <c r="E284" s="2">
        <v>0.0</v>
      </c>
    </row>
    <row r="285" ht="15.75" customHeight="1">
      <c r="A285" s="2" t="s">
        <v>92</v>
      </c>
      <c r="B285" s="2" t="s">
        <v>18</v>
      </c>
      <c r="C285" s="2">
        <v>0.0</v>
      </c>
      <c r="D285" s="2">
        <v>1.0</v>
      </c>
      <c r="E285" s="2">
        <v>0.0</v>
      </c>
    </row>
    <row r="286" ht="15.75" customHeight="1">
      <c r="A286" s="2" t="s">
        <v>93</v>
      </c>
      <c r="B286" s="2" t="s">
        <v>16</v>
      </c>
      <c r="C286" s="2">
        <v>0.0</v>
      </c>
      <c r="D286" s="2">
        <v>0.0</v>
      </c>
      <c r="E286" s="2">
        <v>0.0</v>
      </c>
      <c r="F286" s="2" t="s">
        <v>110</v>
      </c>
    </row>
    <row r="287" ht="15.75" customHeight="1">
      <c r="A287" s="2" t="s">
        <v>93</v>
      </c>
      <c r="B287" s="2" t="s">
        <v>16</v>
      </c>
      <c r="C287" s="2">
        <v>0.0</v>
      </c>
      <c r="D287" s="2">
        <v>0.0</v>
      </c>
      <c r="E287" s="2">
        <v>0.0</v>
      </c>
      <c r="F287" s="2" t="s">
        <v>110</v>
      </c>
    </row>
    <row r="288" ht="15.75" customHeight="1">
      <c r="A288" s="2" t="s">
        <v>93</v>
      </c>
      <c r="B288" s="2" t="s">
        <v>16</v>
      </c>
      <c r="C288" s="2">
        <v>0.0</v>
      </c>
      <c r="D288" s="2">
        <v>0.0</v>
      </c>
      <c r="E288" s="2">
        <v>0.0</v>
      </c>
      <c r="F288" s="2" t="s">
        <v>110</v>
      </c>
    </row>
    <row r="289" ht="15.75" customHeight="1">
      <c r="A289" s="2" t="s">
        <v>93</v>
      </c>
      <c r="B289" s="2" t="s">
        <v>16</v>
      </c>
      <c r="C289" s="2">
        <v>0.0</v>
      </c>
      <c r="D289" s="2">
        <v>0.0</v>
      </c>
      <c r="E289" s="2">
        <v>0.0</v>
      </c>
      <c r="F289" s="2" t="s">
        <v>110</v>
      </c>
    </row>
    <row r="290" ht="15.75" customHeight="1">
      <c r="A290" s="2" t="s">
        <v>94</v>
      </c>
      <c r="B290" s="2" t="s">
        <v>16</v>
      </c>
      <c r="C290" s="2">
        <v>0.0</v>
      </c>
      <c r="D290" s="2">
        <v>0.0</v>
      </c>
      <c r="E290" s="2">
        <v>0.0</v>
      </c>
      <c r="F290" s="2" t="s">
        <v>110</v>
      </c>
    </row>
    <row r="291" ht="15.75" customHeight="1">
      <c r="A291" s="2" t="s">
        <v>94</v>
      </c>
      <c r="B291" s="2" t="s">
        <v>16</v>
      </c>
      <c r="C291" s="2">
        <v>0.0</v>
      </c>
      <c r="D291" s="2">
        <v>0.0</v>
      </c>
      <c r="E291" s="2">
        <v>0.0</v>
      </c>
      <c r="F291" s="2" t="s">
        <v>110</v>
      </c>
    </row>
    <row r="292" ht="15.75" customHeight="1">
      <c r="A292" s="2" t="s">
        <v>94</v>
      </c>
      <c r="B292" s="2" t="s">
        <v>16</v>
      </c>
      <c r="C292" s="2">
        <v>0.0</v>
      </c>
      <c r="D292" s="2">
        <v>0.0</v>
      </c>
      <c r="E292" s="2">
        <v>0.0</v>
      </c>
      <c r="F292" s="2" t="s">
        <v>110</v>
      </c>
    </row>
    <row r="293" ht="15.75" customHeight="1">
      <c r="A293" s="2" t="s">
        <v>94</v>
      </c>
      <c r="B293" s="2" t="s">
        <v>16</v>
      </c>
      <c r="C293" s="2">
        <v>0.0</v>
      </c>
      <c r="D293" s="2">
        <v>0.0</v>
      </c>
      <c r="E293" s="2">
        <v>0.0</v>
      </c>
      <c r="F293" s="2" t="s">
        <v>110</v>
      </c>
    </row>
    <row r="294" ht="15.75" customHeight="1">
      <c r="A294" s="2" t="s">
        <v>95</v>
      </c>
      <c r="B294" s="2" t="s">
        <v>18</v>
      </c>
      <c r="C294" s="2">
        <v>0.0</v>
      </c>
      <c r="D294" s="2">
        <v>1.0</v>
      </c>
      <c r="E294" s="2">
        <v>0.0</v>
      </c>
    </row>
    <row r="295" ht="15.75" customHeight="1">
      <c r="A295" s="2" t="s">
        <v>95</v>
      </c>
      <c r="B295" s="2" t="s">
        <v>18</v>
      </c>
      <c r="C295" s="2">
        <v>0.0</v>
      </c>
      <c r="D295" s="2">
        <v>1.0</v>
      </c>
      <c r="E295" s="2">
        <v>0.0</v>
      </c>
    </row>
    <row r="296" ht="15.75" customHeight="1">
      <c r="A296" s="2" t="s">
        <v>95</v>
      </c>
      <c r="B296" s="2" t="s">
        <v>18</v>
      </c>
      <c r="C296" s="2">
        <v>0.0</v>
      </c>
      <c r="D296" s="2">
        <v>1.0</v>
      </c>
      <c r="E296" s="2">
        <v>0.0</v>
      </c>
    </row>
    <row r="297" ht="15.75" customHeight="1">
      <c r="A297" s="2" t="s">
        <v>95</v>
      </c>
      <c r="B297" s="2" t="s">
        <v>18</v>
      </c>
      <c r="C297" s="2">
        <v>0.0</v>
      </c>
      <c r="D297" s="2">
        <v>1.0</v>
      </c>
      <c r="E297" s="2">
        <v>0.0</v>
      </c>
    </row>
    <row r="298" ht="15.75" customHeight="1">
      <c r="A298" s="2" t="s">
        <v>96</v>
      </c>
      <c r="B298" s="2" t="s">
        <v>18</v>
      </c>
      <c r="C298" s="2">
        <v>0.0</v>
      </c>
      <c r="D298" s="2">
        <v>1.0</v>
      </c>
      <c r="E298" s="2">
        <v>0.0</v>
      </c>
    </row>
    <row r="299" ht="15.75" customHeight="1">
      <c r="A299" s="2" t="s">
        <v>96</v>
      </c>
      <c r="B299" s="2" t="s">
        <v>18</v>
      </c>
      <c r="C299" s="2">
        <v>0.0</v>
      </c>
      <c r="D299" s="2">
        <v>1.0</v>
      </c>
      <c r="E299" s="2">
        <v>0.0</v>
      </c>
    </row>
    <row r="300" ht="15.75" customHeight="1">
      <c r="A300" s="2" t="s">
        <v>96</v>
      </c>
      <c r="B300" s="2" t="s">
        <v>18</v>
      </c>
      <c r="C300" s="2">
        <v>0.0</v>
      </c>
      <c r="D300" s="2">
        <v>1.0</v>
      </c>
      <c r="E300" s="2">
        <v>0.0</v>
      </c>
    </row>
    <row r="301" ht="15.75" customHeight="1">
      <c r="A301" s="2" t="s">
        <v>96</v>
      </c>
      <c r="B301" s="2" t="s">
        <v>18</v>
      </c>
      <c r="C301" s="2">
        <v>0.0</v>
      </c>
      <c r="D301" s="2">
        <v>1.0</v>
      </c>
      <c r="E301" s="2">
        <v>0.0</v>
      </c>
    </row>
    <row r="302" ht="15.75" customHeight="1">
      <c r="A302" s="2" t="s">
        <v>97</v>
      </c>
      <c r="B302" s="2" t="s">
        <v>28</v>
      </c>
      <c r="C302" s="2">
        <v>0.0</v>
      </c>
      <c r="D302" s="2">
        <v>0.0</v>
      </c>
      <c r="E302" s="2">
        <v>1.0</v>
      </c>
    </row>
    <row r="303" ht="15.75" customHeight="1">
      <c r="A303" s="2" t="s">
        <v>97</v>
      </c>
      <c r="B303" s="2" t="s">
        <v>28</v>
      </c>
      <c r="C303" s="2">
        <v>0.0</v>
      </c>
      <c r="D303" s="2">
        <v>0.0</v>
      </c>
      <c r="E303" s="2">
        <v>1.0</v>
      </c>
    </row>
    <row r="304" ht="15.75" customHeight="1">
      <c r="A304" s="2" t="s">
        <v>97</v>
      </c>
      <c r="B304" s="2" t="s">
        <v>28</v>
      </c>
      <c r="C304" s="2">
        <v>0.0</v>
      </c>
      <c r="D304" s="2">
        <v>0.0</v>
      </c>
      <c r="E304" s="2">
        <v>1.0</v>
      </c>
    </row>
    <row r="305" ht="15.75" customHeight="1">
      <c r="A305" s="2" t="s">
        <v>97</v>
      </c>
      <c r="B305" s="2" t="s">
        <v>28</v>
      </c>
      <c r="C305" s="2">
        <v>0.0</v>
      </c>
      <c r="D305" s="2">
        <v>0.0</v>
      </c>
      <c r="E305" s="2">
        <v>1.0</v>
      </c>
    </row>
    <row r="306" ht="15.75" customHeight="1">
      <c r="A306" s="2" t="s">
        <v>98</v>
      </c>
      <c r="B306" s="2" t="s">
        <v>16</v>
      </c>
      <c r="C306" s="2">
        <v>0.0</v>
      </c>
      <c r="D306" s="2">
        <v>0.0</v>
      </c>
      <c r="E306" s="2">
        <v>0.0</v>
      </c>
      <c r="F306" s="2" t="s">
        <v>110</v>
      </c>
    </row>
    <row r="307" ht="15.75" customHeight="1">
      <c r="A307" s="2" t="s">
        <v>98</v>
      </c>
      <c r="B307" s="2" t="s">
        <v>16</v>
      </c>
      <c r="C307" s="2">
        <v>0.0</v>
      </c>
      <c r="D307" s="2">
        <v>0.0</v>
      </c>
      <c r="E307" s="2">
        <v>0.0</v>
      </c>
      <c r="F307" s="2" t="s">
        <v>110</v>
      </c>
    </row>
    <row r="308" ht="15.75" customHeight="1">
      <c r="A308" s="2" t="s">
        <v>98</v>
      </c>
      <c r="B308" s="2" t="s">
        <v>16</v>
      </c>
      <c r="C308" s="2">
        <v>0.0</v>
      </c>
      <c r="D308" s="2">
        <v>0.0</v>
      </c>
      <c r="E308" s="2">
        <v>0.0</v>
      </c>
      <c r="F308" s="2" t="s">
        <v>110</v>
      </c>
    </row>
    <row r="309" ht="15.75" customHeight="1">
      <c r="A309" s="2" t="s">
        <v>98</v>
      </c>
      <c r="B309" s="2" t="s">
        <v>16</v>
      </c>
      <c r="C309" s="2">
        <v>0.0</v>
      </c>
      <c r="D309" s="2">
        <v>0.0</v>
      </c>
      <c r="E309" s="2">
        <v>0.0</v>
      </c>
      <c r="F309" s="2" t="s">
        <v>110</v>
      </c>
    </row>
    <row r="310" ht="15.75" customHeight="1">
      <c r="A310" s="2" t="s">
        <v>99</v>
      </c>
      <c r="B310" s="2" t="s">
        <v>18</v>
      </c>
      <c r="C310" s="2">
        <v>0.0</v>
      </c>
      <c r="D310" s="2">
        <v>1.0</v>
      </c>
      <c r="E310" s="2">
        <v>0.0</v>
      </c>
    </row>
    <row r="311" ht="15.75" customHeight="1">
      <c r="A311" s="2" t="s">
        <v>99</v>
      </c>
      <c r="B311" s="2" t="s">
        <v>18</v>
      </c>
      <c r="C311" s="2">
        <v>0.0</v>
      </c>
      <c r="D311" s="2">
        <v>1.0</v>
      </c>
      <c r="E311" s="2">
        <v>0.0</v>
      </c>
    </row>
    <row r="312" ht="15.75" customHeight="1">
      <c r="A312" s="2" t="s">
        <v>99</v>
      </c>
      <c r="B312" s="2" t="s">
        <v>18</v>
      </c>
      <c r="C312" s="2">
        <v>0.0</v>
      </c>
      <c r="D312" s="2">
        <v>1.0</v>
      </c>
      <c r="E312" s="2">
        <v>0.0</v>
      </c>
    </row>
    <row r="313" ht="15.75" customHeight="1">
      <c r="A313" s="2" t="s">
        <v>99</v>
      </c>
      <c r="B313" s="2" t="s">
        <v>18</v>
      </c>
      <c r="C313" s="2">
        <v>0.0</v>
      </c>
      <c r="D313" s="2">
        <v>1.0</v>
      </c>
      <c r="E313" s="2">
        <v>0.0</v>
      </c>
    </row>
    <row r="314" ht="15.75" customHeight="1">
      <c r="A314" s="2" t="s">
        <v>100</v>
      </c>
      <c r="B314" s="2" t="s">
        <v>16</v>
      </c>
      <c r="C314" s="2">
        <v>0.0</v>
      </c>
      <c r="D314" s="2">
        <v>0.0</v>
      </c>
      <c r="E314" s="2">
        <v>0.0</v>
      </c>
      <c r="F314" s="2" t="s">
        <v>110</v>
      </c>
    </row>
    <row r="315" ht="15.75" customHeight="1">
      <c r="A315" s="2" t="s">
        <v>100</v>
      </c>
      <c r="B315" s="2" t="s">
        <v>16</v>
      </c>
      <c r="C315" s="2">
        <v>0.0</v>
      </c>
      <c r="D315" s="2">
        <v>0.0</v>
      </c>
      <c r="E315" s="2">
        <v>0.0</v>
      </c>
      <c r="F315" s="2" t="s">
        <v>110</v>
      </c>
    </row>
    <row r="316" ht="15.75" customHeight="1">
      <c r="A316" s="2" t="s">
        <v>100</v>
      </c>
      <c r="B316" s="2" t="s">
        <v>16</v>
      </c>
      <c r="C316" s="2">
        <v>0.0</v>
      </c>
      <c r="D316" s="2">
        <v>0.0</v>
      </c>
      <c r="E316" s="2">
        <v>0.0</v>
      </c>
      <c r="F316" s="2" t="s">
        <v>110</v>
      </c>
    </row>
    <row r="317" ht="15.75" customHeight="1">
      <c r="A317" s="2" t="s">
        <v>100</v>
      </c>
      <c r="B317" s="2" t="s">
        <v>16</v>
      </c>
      <c r="C317" s="2">
        <v>0.0</v>
      </c>
      <c r="D317" s="2">
        <v>0.0</v>
      </c>
      <c r="E317" s="2">
        <v>0.0</v>
      </c>
      <c r="F317" s="2" t="s">
        <v>110</v>
      </c>
    </row>
    <row r="318" ht="15.75" customHeight="1">
      <c r="A318" s="2" t="s">
        <v>101</v>
      </c>
      <c r="B318" s="2" t="s">
        <v>16</v>
      </c>
      <c r="C318" s="2">
        <v>0.0</v>
      </c>
      <c r="D318" s="2">
        <v>0.0</v>
      </c>
      <c r="E318" s="2">
        <v>0.0</v>
      </c>
      <c r="F318" s="2" t="s">
        <v>110</v>
      </c>
    </row>
    <row r="319" ht="15.75" customHeight="1">
      <c r="A319" s="2" t="s">
        <v>101</v>
      </c>
      <c r="B319" s="2" t="s">
        <v>16</v>
      </c>
      <c r="C319" s="2">
        <v>0.0</v>
      </c>
      <c r="D319" s="2">
        <v>0.0</v>
      </c>
      <c r="E319" s="2">
        <v>0.0</v>
      </c>
      <c r="F319" s="2" t="s">
        <v>110</v>
      </c>
    </row>
    <row r="320" ht="15.75" customHeight="1">
      <c r="A320" s="2" t="s">
        <v>101</v>
      </c>
      <c r="B320" s="2" t="s">
        <v>16</v>
      </c>
      <c r="C320" s="2">
        <v>0.0</v>
      </c>
      <c r="D320" s="2">
        <v>0.0</v>
      </c>
      <c r="E320" s="2">
        <v>0.0</v>
      </c>
      <c r="F320" s="2" t="s">
        <v>110</v>
      </c>
    </row>
    <row r="321" ht="15.75" customHeight="1">
      <c r="A321" s="2" t="s">
        <v>101</v>
      </c>
      <c r="B321" s="2" t="s">
        <v>16</v>
      </c>
      <c r="C321" s="2">
        <v>0.0</v>
      </c>
      <c r="D321" s="2">
        <v>0.0</v>
      </c>
      <c r="E321" s="2">
        <v>0.0</v>
      </c>
      <c r="F321" s="2" t="s">
        <v>110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4" width="8.71"/>
    <col customWidth="1" min="5" max="5" width="16.0"/>
    <col customWidth="1" min="6" max="24" width="8.71"/>
  </cols>
  <sheetData>
    <row r="1">
      <c r="A1" s="6" t="s">
        <v>116</v>
      </c>
    </row>
    <row r="3">
      <c r="A3" s="5" t="s">
        <v>117</v>
      </c>
      <c r="B3" s="5" t="s">
        <v>118</v>
      </c>
    </row>
    <row r="4">
      <c r="A4" s="2" t="s">
        <v>119</v>
      </c>
      <c r="B4" s="2">
        <f>INTERCEPT(Cleaned_Data!M2:M321, Cleaned_Data!F2:F321)</f>
        <v>446410.5829</v>
      </c>
    </row>
    <row r="5">
      <c r="A5" s="2" t="s">
        <v>120</v>
      </c>
      <c r="B5" s="2">
        <f>SLOPE(Cleaned_Data!M2:M321,Cleaned_Data!F2:F321)</f>
        <v>35.67803107</v>
      </c>
    </row>
    <row r="6">
      <c r="A6" s="2" t="s">
        <v>121</v>
      </c>
      <c r="B6" s="2">
        <f>RSQ(Cleaned_Data!M2:M321,Cleaned_Data!F2:F321)</f>
        <v>0.73628534</v>
      </c>
    </row>
    <row r="7">
      <c r="A7" s="7" t="s">
        <v>122</v>
      </c>
      <c r="B7" s="2">
        <f>CORREL(Cleaned_Data!M2:M321,Cleaned_Data!F2:F321)</f>
        <v>0.858070708</v>
      </c>
    </row>
    <row r="8">
      <c r="A8" s="7" t="s">
        <v>123</v>
      </c>
      <c r="B8" s="2">
        <f>STEYX(Cleaned_Data!M2:M321,Cleaned_Data!F2:F321)</f>
        <v>53373.73638</v>
      </c>
    </row>
    <row r="9">
      <c r="A9" s="7" t="s">
        <v>124</v>
      </c>
      <c r="B9" s="2">
        <f>B5/(B8/SQRT(DEVSQ(Cleaned_Data!F2:F321)))</f>
        <v>29.79679137</v>
      </c>
    </row>
    <row r="10">
      <c r="A10" s="7" t="s">
        <v>125</v>
      </c>
      <c r="B10" s="2">
        <f>TDIST(ABS(B9),COUNT(Cleaned_Data!F2:F321)-2,2)</f>
        <v>0</v>
      </c>
    </row>
    <row r="11">
      <c r="A11" s="7" t="s">
        <v>126</v>
      </c>
      <c r="B11" s="2">
        <f>COUNT(Cleaned_Data!F2:F321)</f>
        <v>320</v>
      </c>
    </row>
    <row r="12">
      <c r="A12" s="2" t="s">
        <v>127</v>
      </c>
      <c r="B12" s="2" t="s">
        <v>128</v>
      </c>
    </row>
    <row r="14">
      <c r="A14" s="5" t="s">
        <v>129</v>
      </c>
    </row>
    <row r="15">
      <c r="A15" s="2" t="s">
        <v>130</v>
      </c>
    </row>
    <row r="16">
      <c r="A16" s="2" t="s">
        <v>131</v>
      </c>
    </row>
    <row r="17">
      <c r="A17" s="8" t="s">
        <v>132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26" width="8.71"/>
  </cols>
  <sheetData>
    <row r="1">
      <c r="A1" s="6" t="s">
        <v>133</v>
      </c>
    </row>
    <row r="3">
      <c r="A3" s="5" t="s">
        <v>117</v>
      </c>
      <c r="B3" s="5" t="s">
        <v>118</v>
      </c>
    </row>
    <row r="4">
      <c r="A4" s="2" t="s">
        <v>119</v>
      </c>
      <c r="B4" s="2">
        <f>INTERCEPT(Cleaned_Data!M2:M321,Cleaned_Data!E2:E321)</f>
        <v>560777.3454</v>
      </c>
    </row>
    <row r="5">
      <c r="A5" s="2" t="s">
        <v>120</v>
      </c>
      <c r="B5" s="2">
        <f>SLOPE(Cleaned_Data!M2:M321,Cleaned_Data!E2:E321)</f>
        <v>2.129575328</v>
      </c>
    </row>
    <row r="6">
      <c r="A6" s="2" t="s">
        <v>121</v>
      </c>
      <c r="B6" s="2">
        <f>RSQ(Cleaned_Data!M2:M321,Cleaned_Data!E2:E321)</f>
        <v>0.1672446911</v>
      </c>
    </row>
    <row r="7">
      <c r="A7" s="7" t="s">
        <v>122</v>
      </c>
      <c r="B7" s="2">
        <f>CORREL(Cleaned_Data!M2:M321,Cleaned_Data!E2:E321)</f>
        <v>0.4089556102</v>
      </c>
    </row>
    <row r="8">
      <c r="A8" s="7" t="s">
        <v>123</v>
      </c>
      <c r="B8" s="2">
        <f>STEYX(Cleaned_Data!M2:M321,Cleaned_Data!E2:E321)</f>
        <v>94846.03383</v>
      </c>
    </row>
    <row r="9">
      <c r="A9" s="7" t="s">
        <v>124</v>
      </c>
      <c r="B9" s="2">
        <f>B5/(B8/SQRT(DEVSQ(Cleaned_Data!E2:E321)))</f>
        <v>7.99155008</v>
      </c>
    </row>
    <row r="10">
      <c r="A10" s="2" t="s">
        <v>134</v>
      </c>
      <c r="B10" s="2">
        <f>TDIST(ABS(B9),COUNT(Cleaned_Data!E2:E321)-2,2)</f>
        <v>0</v>
      </c>
    </row>
    <row r="11">
      <c r="A11" s="7" t="s">
        <v>126</v>
      </c>
      <c r="B11" s="2">
        <f>COUNT(Cleaned_Data!E2:E321)</f>
        <v>320</v>
      </c>
    </row>
    <row r="12">
      <c r="A12" s="2" t="s">
        <v>127</v>
      </c>
      <c r="B12" s="2" t="s">
        <v>135</v>
      </c>
    </row>
    <row r="14">
      <c r="A14" s="5" t="s">
        <v>129</v>
      </c>
    </row>
    <row r="15">
      <c r="A15" s="2" t="s">
        <v>136</v>
      </c>
    </row>
    <row r="16">
      <c r="A16" s="2" t="s">
        <v>137</v>
      </c>
    </row>
    <row r="17">
      <c r="A17" s="9" t="s">
        <v>138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4" width="14.0"/>
    <col customWidth="1" min="5" max="5" width="12.0"/>
    <col customWidth="1" min="6" max="6" width="14.0"/>
    <col customWidth="1" min="7" max="26" width="8.71"/>
  </cols>
  <sheetData>
    <row r="1">
      <c r="A1" s="5" t="s">
        <v>139</v>
      </c>
    </row>
    <row r="3">
      <c r="A3" s="5" t="s">
        <v>140</v>
      </c>
    </row>
    <row r="4">
      <c r="A4" s="2" t="s">
        <v>121</v>
      </c>
      <c r="B4" s="2">
        <v>0.8224</v>
      </c>
    </row>
    <row r="5">
      <c r="A5" s="2" t="s">
        <v>141</v>
      </c>
      <c r="B5" s="2">
        <v>0.8184</v>
      </c>
    </row>
    <row r="6">
      <c r="A6" s="2" t="s">
        <v>126</v>
      </c>
      <c r="B6" s="2">
        <v>320.0</v>
      </c>
    </row>
    <row r="7">
      <c r="A7" s="2" t="s">
        <v>142</v>
      </c>
      <c r="B7" s="2">
        <v>7.0</v>
      </c>
    </row>
    <row r="9">
      <c r="A9" s="5" t="s">
        <v>143</v>
      </c>
    </row>
    <row r="10">
      <c r="A10" s="10" t="s">
        <v>144</v>
      </c>
      <c r="B10" s="10" t="s">
        <v>145</v>
      </c>
      <c r="C10" s="10" t="s">
        <v>123</v>
      </c>
      <c r="D10" s="10" t="s">
        <v>124</v>
      </c>
      <c r="E10" s="10" t="s">
        <v>134</v>
      </c>
      <c r="F10" s="10" t="s">
        <v>146</v>
      </c>
    </row>
    <row r="11">
      <c r="A11" s="2" t="s">
        <v>147</v>
      </c>
      <c r="B11" s="2">
        <v>91266.0594</v>
      </c>
      <c r="C11" s="2">
        <v>43280.0234</v>
      </c>
      <c r="D11" s="2">
        <v>2.1087</v>
      </c>
      <c r="E11" s="2">
        <v>0.035764</v>
      </c>
      <c r="F11" s="2" t="s">
        <v>148</v>
      </c>
    </row>
    <row r="12">
      <c r="A12" s="2" t="s">
        <v>5</v>
      </c>
      <c r="B12" s="2">
        <v>28.9428</v>
      </c>
      <c r="C12" s="2">
        <v>2.5054</v>
      </c>
      <c r="D12" s="2">
        <v>11.552</v>
      </c>
      <c r="E12" s="2">
        <v>0.0</v>
      </c>
      <c r="F12" s="2" t="s">
        <v>149</v>
      </c>
    </row>
    <row r="13">
      <c r="A13" s="2" t="s">
        <v>4</v>
      </c>
      <c r="B13" s="2">
        <v>1.1626</v>
      </c>
      <c r="C13" s="2">
        <v>0.1281</v>
      </c>
      <c r="D13" s="2">
        <v>9.0739</v>
      </c>
      <c r="E13" s="2">
        <v>0.0</v>
      </c>
      <c r="F13" s="2" t="s">
        <v>149</v>
      </c>
    </row>
    <row r="14">
      <c r="A14" s="2" t="s">
        <v>7</v>
      </c>
      <c r="B14" s="2">
        <v>2636.1666</v>
      </c>
      <c r="C14" s="2">
        <v>1270.5139</v>
      </c>
      <c r="D14" s="2">
        <v>2.0749</v>
      </c>
      <c r="E14" s="2">
        <v>0.038817</v>
      </c>
      <c r="F14" s="2" t="s">
        <v>148</v>
      </c>
    </row>
    <row r="15">
      <c r="A15" s="2" t="s">
        <v>8</v>
      </c>
      <c r="B15" s="2">
        <v>3100.1151</v>
      </c>
      <c r="C15" s="2">
        <v>464.0765</v>
      </c>
      <c r="D15" s="2">
        <v>6.6802</v>
      </c>
      <c r="E15" s="2">
        <v>0.0</v>
      </c>
      <c r="F15" s="2" t="s">
        <v>149</v>
      </c>
    </row>
    <row r="16">
      <c r="A16" s="2" t="s">
        <v>105</v>
      </c>
      <c r="B16" s="2">
        <v>39962.0277</v>
      </c>
      <c r="C16" s="2">
        <v>9467.1779</v>
      </c>
      <c r="D16" s="2">
        <v>4.2211</v>
      </c>
      <c r="E16" s="2">
        <v>3.2E-5</v>
      </c>
      <c r="F16" s="2" t="s">
        <v>149</v>
      </c>
    </row>
    <row r="17">
      <c r="A17" s="2" t="s">
        <v>106</v>
      </c>
      <c r="B17" s="2">
        <v>17557.6418</v>
      </c>
      <c r="C17" s="2">
        <v>6082.6315</v>
      </c>
      <c r="D17" s="2">
        <v>2.8865</v>
      </c>
      <c r="E17" s="2">
        <v>0.004167</v>
      </c>
      <c r="F17" s="2" t="s">
        <v>150</v>
      </c>
    </row>
    <row r="18">
      <c r="A18" s="2" t="s">
        <v>107</v>
      </c>
      <c r="B18" s="2">
        <v>28984.8729</v>
      </c>
      <c r="C18" s="2">
        <v>6746.8753</v>
      </c>
      <c r="D18" s="2">
        <v>4.296</v>
      </c>
      <c r="E18" s="2">
        <v>2.3E-5</v>
      </c>
      <c r="F18" s="2" t="s">
        <v>149</v>
      </c>
    </row>
    <row r="20">
      <c r="A20" s="5" t="s">
        <v>151</v>
      </c>
    </row>
    <row r="21" ht="15.75" customHeight="1">
      <c r="A21" s="5" t="s">
        <v>5</v>
      </c>
      <c r="B21" s="2" t="s">
        <v>152</v>
      </c>
    </row>
    <row r="22" ht="15.75" customHeight="1">
      <c r="A22" s="5" t="s">
        <v>4</v>
      </c>
      <c r="B22" s="2" t="s">
        <v>153</v>
      </c>
    </row>
    <row r="23" ht="15.75" customHeight="1">
      <c r="A23" s="5" t="s">
        <v>7</v>
      </c>
      <c r="B23" s="2" t="s">
        <v>154</v>
      </c>
    </row>
    <row r="24" ht="15.75" customHeight="1">
      <c r="A24" s="5" t="s">
        <v>8</v>
      </c>
      <c r="B24" s="2" t="s">
        <v>155</v>
      </c>
    </row>
    <row r="25" ht="15.75" customHeight="1">
      <c r="A25" s="5" t="s">
        <v>105</v>
      </c>
      <c r="B25" s="2" t="s">
        <v>156</v>
      </c>
    </row>
    <row r="26" ht="15.75" customHeight="1">
      <c r="A26" s="5" t="s">
        <v>106</v>
      </c>
      <c r="B26" s="2" t="s">
        <v>157</v>
      </c>
    </row>
    <row r="27" ht="15.75" customHeight="1">
      <c r="A27" s="5" t="s">
        <v>107</v>
      </c>
      <c r="B27" s="2" t="s">
        <v>158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0"/>
    <col customWidth="1" min="7" max="26" width="8.71"/>
  </cols>
  <sheetData>
    <row r="1">
      <c r="A1" s="11" t="s">
        <v>0</v>
      </c>
      <c r="B1" s="11" t="s">
        <v>3</v>
      </c>
      <c r="C1" s="11" t="s">
        <v>2</v>
      </c>
      <c r="D1" s="11" t="s">
        <v>12</v>
      </c>
      <c r="E1" s="11" t="s">
        <v>159</v>
      </c>
      <c r="F1" s="11" t="s">
        <v>160</v>
      </c>
    </row>
    <row r="2">
      <c r="A2" s="2" t="s">
        <v>14</v>
      </c>
      <c r="B2" s="2" t="s">
        <v>16</v>
      </c>
      <c r="C2" s="2" t="s">
        <v>15</v>
      </c>
      <c r="D2" s="2">
        <v>658832.62</v>
      </c>
      <c r="E2" s="2">
        <v>690706.94</v>
      </c>
      <c r="F2" s="2">
        <v>-31874.32</v>
      </c>
    </row>
    <row r="3">
      <c r="A3" s="2" t="s">
        <v>14</v>
      </c>
      <c r="B3" s="2" t="s">
        <v>16</v>
      </c>
      <c r="C3" s="2" t="s">
        <v>15</v>
      </c>
      <c r="D3" s="2">
        <v>634436.0</v>
      </c>
      <c r="E3" s="2">
        <v>710139.33</v>
      </c>
      <c r="F3" s="2">
        <v>-75703.33</v>
      </c>
    </row>
    <row r="4">
      <c r="A4" s="2" t="s">
        <v>14</v>
      </c>
      <c r="B4" s="2" t="s">
        <v>16</v>
      </c>
      <c r="C4" s="2" t="s">
        <v>15</v>
      </c>
      <c r="D4" s="2">
        <v>678722.06</v>
      </c>
      <c r="E4" s="2">
        <v>750220.17</v>
      </c>
      <c r="F4" s="2">
        <v>-71498.11</v>
      </c>
    </row>
    <row r="5">
      <c r="A5" s="2" t="s">
        <v>14</v>
      </c>
      <c r="B5" s="2" t="s">
        <v>16</v>
      </c>
      <c r="C5" s="2" t="s">
        <v>15</v>
      </c>
      <c r="D5" s="2">
        <v>658920.3</v>
      </c>
      <c r="E5" s="2">
        <v>760358.83</v>
      </c>
      <c r="F5" s="2">
        <v>-101438.53</v>
      </c>
    </row>
    <row r="6">
      <c r="A6" s="2" t="s">
        <v>17</v>
      </c>
      <c r="B6" s="2" t="s">
        <v>18</v>
      </c>
      <c r="C6" s="2" t="s">
        <v>15</v>
      </c>
      <c r="D6" s="2">
        <v>741341.44</v>
      </c>
      <c r="E6" s="2">
        <v>799297.86</v>
      </c>
      <c r="F6" s="2">
        <v>-57956.42</v>
      </c>
    </row>
    <row r="7">
      <c r="A7" s="2" t="s">
        <v>17</v>
      </c>
      <c r="B7" s="2" t="s">
        <v>18</v>
      </c>
      <c r="C7" s="2" t="s">
        <v>15</v>
      </c>
      <c r="D7" s="2">
        <v>761835.34</v>
      </c>
      <c r="E7" s="2">
        <v>781334.01</v>
      </c>
      <c r="F7" s="2">
        <v>-19498.67</v>
      </c>
    </row>
    <row r="8">
      <c r="A8" s="2" t="s">
        <v>17</v>
      </c>
      <c r="B8" s="2" t="s">
        <v>18</v>
      </c>
      <c r="C8" s="2" t="s">
        <v>15</v>
      </c>
      <c r="D8" s="2">
        <v>806615.54</v>
      </c>
      <c r="E8" s="2">
        <v>791933.53</v>
      </c>
      <c r="F8" s="2">
        <v>14682.01</v>
      </c>
    </row>
    <row r="9">
      <c r="A9" s="2" t="s">
        <v>17</v>
      </c>
      <c r="B9" s="2" t="s">
        <v>18</v>
      </c>
      <c r="C9" s="2" t="s">
        <v>15</v>
      </c>
      <c r="D9" s="2">
        <v>850164.26</v>
      </c>
      <c r="E9" s="2">
        <v>793008.88</v>
      </c>
      <c r="F9" s="2">
        <v>57155.38</v>
      </c>
    </row>
    <row r="10">
      <c r="A10" s="2" t="s">
        <v>19</v>
      </c>
      <c r="B10" s="2" t="s">
        <v>21</v>
      </c>
      <c r="C10" s="2" t="s">
        <v>20</v>
      </c>
      <c r="D10" s="2">
        <v>930581.7</v>
      </c>
      <c r="E10" s="2">
        <v>875721.34</v>
      </c>
      <c r="F10" s="2">
        <v>54860.36</v>
      </c>
    </row>
    <row r="11">
      <c r="A11" s="2" t="s">
        <v>19</v>
      </c>
      <c r="B11" s="2" t="s">
        <v>21</v>
      </c>
      <c r="C11" s="2" t="s">
        <v>20</v>
      </c>
      <c r="D11" s="2">
        <v>779010.94</v>
      </c>
      <c r="E11" s="2">
        <v>803079.14</v>
      </c>
      <c r="F11" s="2">
        <v>-24068.2</v>
      </c>
    </row>
    <row r="12">
      <c r="A12" s="2" t="s">
        <v>19</v>
      </c>
      <c r="B12" s="2" t="s">
        <v>21</v>
      </c>
      <c r="C12" s="2" t="s">
        <v>20</v>
      </c>
      <c r="D12" s="2">
        <v>723060.76</v>
      </c>
      <c r="E12" s="2">
        <v>768287.11</v>
      </c>
      <c r="F12" s="2">
        <v>-45226.35</v>
      </c>
    </row>
    <row r="13">
      <c r="A13" s="2" t="s">
        <v>19</v>
      </c>
      <c r="B13" s="2" t="s">
        <v>21</v>
      </c>
      <c r="C13" s="2" t="s">
        <v>20</v>
      </c>
      <c r="D13" s="2">
        <v>910791.94</v>
      </c>
      <c r="E13" s="2">
        <v>873541.47</v>
      </c>
      <c r="F13" s="2">
        <v>37250.47</v>
      </c>
    </row>
    <row r="14">
      <c r="A14" s="2" t="s">
        <v>22</v>
      </c>
      <c r="B14" s="2" t="s">
        <v>16</v>
      </c>
      <c r="C14" s="2" t="s">
        <v>15</v>
      </c>
      <c r="D14" s="2">
        <v>922168.6</v>
      </c>
      <c r="E14" s="2">
        <v>876882.09</v>
      </c>
      <c r="F14" s="2">
        <v>45286.51</v>
      </c>
    </row>
    <row r="15">
      <c r="A15" s="2" t="s">
        <v>22</v>
      </c>
      <c r="B15" s="2" t="s">
        <v>16</v>
      </c>
      <c r="C15" s="2" t="s">
        <v>15</v>
      </c>
      <c r="D15" s="2">
        <v>726606.28</v>
      </c>
      <c r="E15" s="2">
        <v>773500.98</v>
      </c>
      <c r="F15" s="2">
        <v>-46894.7</v>
      </c>
    </row>
    <row r="16">
      <c r="A16" s="2" t="s">
        <v>22</v>
      </c>
      <c r="B16" s="2" t="s">
        <v>16</v>
      </c>
      <c r="C16" s="2" t="s">
        <v>15</v>
      </c>
      <c r="D16" s="2">
        <v>746501.09</v>
      </c>
      <c r="E16" s="2">
        <v>754285.0</v>
      </c>
      <c r="F16" s="2">
        <v>-7783.91</v>
      </c>
    </row>
    <row r="17">
      <c r="A17" s="2" t="s">
        <v>22</v>
      </c>
      <c r="B17" s="2" t="s">
        <v>16</v>
      </c>
      <c r="C17" s="2" t="s">
        <v>15</v>
      </c>
      <c r="D17" s="2">
        <v>834017.02</v>
      </c>
      <c r="E17" s="2">
        <v>801149.71</v>
      </c>
      <c r="F17" s="2">
        <v>32867.31</v>
      </c>
    </row>
    <row r="18">
      <c r="A18" s="2" t="s">
        <v>23</v>
      </c>
      <c r="B18" s="2" t="s">
        <v>16</v>
      </c>
      <c r="C18" s="2" t="s">
        <v>24</v>
      </c>
      <c r="D18" s="2">
        <v>666152.52</v>
      </c>
      <c r="E18" s="2">
        <v>663677.69</v>
      </c>
      <c r="F18" s="2">
        <v>2474.83</v>
      </c>
    </row>
    <row r="19">
      <c r="A19" s="2" t="s">
        <v>23</v>
      </c>
      <c r="B19" s="2" t="s">
        <v>16</v>
      </c>
      <c r="C19" s="2" t="s">
        <v>24</v>
      </c>
      <c r="D19" s="2">
        <v>573155.19</v>
      </c>
      <c r="E19" s="2">
        <v>578675.25</v>
      </c>
      <c r="F19" s="2">
        <v>-5520.06</v>
      </c>
    </row>
    <row r="20">
      <c r="A20" s="2" t="s">
        <v>23</v>
      </c>
      <c r="B20" s="2" t="s">
        <v>16</v>
      </c>
      <c r="C20" s="2" t="s">
        <v>24</v>
      </c>
      <c r="D20" s="2">
        <v>666573.2</v>
      </c>
      <c r="E20" s="2">
        <v>674463.66</v>
      </c>
      <c r="F20" s="2">
        <v>-7890.46</v>
      </c>
    </row>
    <row r="21" ht="15.75" customHeight="1">
      <c r="A21" s="2" t="s">
        <v>23</v>
      </c>
      <c r="B21" s="2" t="s">
        <v>16</v>
      </c>
      <c r="C21" s="2" t="s">
        <v>24</v>
      </c>
      <c r="D21" s="2">
        <v>591619.95</v>
      </c>
      <c r="E21" s="2">
        <v>596171.95</v>
      </c>
      <c r="F21" s="2">
        <v>-4552.0</v>
      </c>
    </row>
    <row r="22" ht="15.75" customHeight="1">
      <c r="A22" s="2" t="s">
        <v>25</v>
      </c>
      <c r="B22" s="2" t="s">
        <v>16</v>
      </c>
      <c r="C22" s="2" t="s">
        <v>20</v>
      </c>
      <c r="D22" s="2">
        <v>415721.82</v>
      </c>
      <c r="E22" s="2">
        <v>494850.09</v>
      </c>
      <c r="F22" s="2">
        <v>-79128.27</v>
      </c>
    </row>
    <row r="23" ht="15.75" customHeight="1">
      <c r="A23" s="2" t="s">
        <v>25</v>
      </c>
      <c r="B23" s="2" t="s">
        <v>16</v>
      </c>
      <c r="C23" s="2" t="s">
        <v>20</v>
      </c>
      <c r="D23" s="2">
        <v>491905.13</v>
      </c>
      <c r="E23" s="2">
        <v>487072.3</v>
      </c>
      <c r="F23" s="2">
        <v>4832.83</v>
      </c>
    </row>
    <row r="24" ht="15.75" customHeight="1">
      <c r="A24" s="2" t="s">
        <v>25</v>
      </c>
      <c r="B24" s="2" t="s">
        <v>16</v>
      </c>
      <c r="C24" s="2" t="s">
        <v>20</v>
      </c>
      <c r="D24" s="2">
        <v>555929.4</v>
      </c>
      <c r="E24" s="2">
        <v>526249.27</v>
      </c>
      <c r="F24" s="2">
        <v>29680.13</v>
      </c>
    </row>
    <row r="25" ht="15.75" customHeight="1">
      <c r="A25" s="2" t="s">
        <v>25</v>
      </c>
      <c r="B25" s="2" t="s">
        <v>16</v>
      </c>
      <c r="C25" s="2" t="s">
        <v>20</v>
      </c>
      <c r="D25" s="2">
        <v>565810.99</v>
      </c>
      <c r="E25" s="2">
        <v>556199.67</v>
      </c>
      <c r="F25" s="2">
        <v>9611.32</v>
      </c>
    </row>
    <row r="26" ht="15.75" customHeight="1">
      <c r="A26" s="2" t="s">
        <v>26</v>
      </c>
      <c r="B26" s="2" t="s">
        <v>28</v>
      </c>
      <c r="C26" s="2" t="s">
        <v>27</v>
      </c>
      <c r="D26" s="2">
        <v>811771.14</v>
      </c>
      <c r="E26" s="2">
        <v>842861.57</v>
      </c>
      <c r="F26" s="2">
        <v>-31090.43</v>
      </c>
    </row>
    <row r="27" ht="15.75" customHeight="1">
      <c r="A27" s="2" t="s">
        <v>26</v>
      </c>
      <c r="B27" s="2" t="s">
        <v>28</v>
      </c>
      <c r="C27" s="2" t="s">
        <v>27</v>
      </c>
      <c r="D27" s="2">
        <v>800451.94</v>
      </c>
      <c r="E27" s="2">
        <v>904299.21</v>
      </c>
      <c r="F27" s="2">
        <v>-103847.27</v>
      </c>
    </row>
    <row r="28" ht="15.75" customHeight="1">
      <c r="A28" s="2" t="s">
        <v>26</v>
      </c>
      <c r="B28" s="2" t="s">
        <v>28</v>
      </c>
      <c r="C28" s="2" t="s">
        <v>27</v>
      </c>
      <c r="D28" s="2">
        <v>783672.82</v>
      </c>
      <c r="E28" s="2">
        <v>799642.91</v>
      </c>
      <c r="F28" s="2">
        <v>-15970.09</v>
      </c>
    </row>
    <row r="29" ht="15.75" customHeight="1">
      <c r="A29" s="2" t="s">
        <v>26</v>
      </c>
      <c r="B29" s="2" t="s">
        <v>28</v>
      </c>
      <c r="C29" s="2" t="s">
        <v>27</v>
      </c>
      <c r="D29" s="2">
        <v>701641.97</v>
      </c>
      <c r="E29" s="2">
        <v>693799.62</v>
      </c>
      <c r="F29" s="2">
        <v>7842.35</v>
      </c>
    </row>
    <row r="30" ht="15.75" customHeight="1">
      <c r="A30" s="2" t="s">
        <v>29</v>
      </c>
      <c r="B30" s="2" t="s">
        <v>16</v>
      </c>
      <c r="C30" s="2" t="s">
        <v>15</v>
      </c>
      <c r="D30" s="2">
        <v>511844.41</v>
      </c>
      <c r="E30" s="2">
        <v>578952.64</v>
      </c>
      <c r="F30" s="2">
        <v>-67108.23</v>
      </c>
    </row>
    <row r="31" ht="15.75" customHeight="1">
      <c r="A31" s="2" t="s">
        <v>29</v>
      </c>
      <c r="B31" s="2" t="s">
        <v>16</v>
      </c>
      <c r="C31" s="2" t="s">
        <v>15</v>
      </c>
      <c r="D31" s="2">
        <v>537383.79</v>
      </c>
      <c r="E31" s="2">
        <v>528874.22</v>
      </c>
      <c r="F31" s="2">
        <v>8509.57</v>
      </c>
    </row>
    <row r="32" ht="15.75" customHeight="1">
      <c r="A32" s="2" t="s">
        <v>29</v>
      </c>
      <c r="B32" s="2" t="s">
        <v>16</v>
      </c>
      <c r="C32" s="2" t="s">
        <v>15</v>
      </c>
      <c r="D32" s="2">
        <v>500173.02</v>
      </c>
      <c r="E32" s="2">
        <v>515633.85</v>
      </c>
      <c r="F32" s="2">
        <v>-15460.83</v>
      </c>
    </row>
    <row r="33" ht="15.75" customHeight="1">
      <c r="A33" s="2" t="s">
        <v>29</v>
      </c>
      <c r="B33" s="2" t="s">
        <v>16</v>
      </c>
      <c r="C33" s="2" t="s">
        <v>15</v>
      </c>
      <c r="D33" s="2">
        <v>427917.38</v>
      </c>
      <c r="E33" s="2">
        <v>492419.25</v>
      </c>
      <c r="F33" s="2">
        <v>-64501.87</v>
      </c>
    </row>
    <row r="34" ht="15.75" customHeight="1">
      <c r="A34" s="2" t="s">
        <v>30</v>
      </c>
      <c r="B34" s="2" t="s">
        <v>16</v>
      </c>
      <c r="C34" s="2" t="s">
        <v>20</v>
      </c>
      <c r="D34" s="2">
        <v>641865.03</v>
      </c>
      <c r="E34" s="2">
        <v>741242.12</v>
      </c>
      <c r="F34" s="2">
        <v>-99377.09</v>
      </c>
    </row>
    <row r="35" ht="15.75" customHeight="1">
      <c r="A35" s="2" t="s">
        <v>30</v>
      </c>
      <c r="B35" s="2" t="s">
        <v>16</v>
      </c>
      <c r="C35" s="2" t="s">
        <v>20</v>
      </c>
      <c r="D35" s="2">
        <v>799477.76</v>
      </c>
      <c r="E35" s="2">
        <v>844003.09</v>
      </c>
      <c r="F35" s="2">
        <v>-44525.33</v>
      </c>
    </row>
    <row r="36" ht="15.75" customHeight="1">
      <c r="A36" s="2" t="s">
        <v>30</v>
      </c>
      <c r="B36" s="2" t="s">
        <v>16</v>
      </c>
      <c r="C36" s="2" t="s">
        <v>20</v>
      </c>
      <c r="D36" s="2">
        <v>798952.17</v>
      </c>
      <c r="E36" s="2">
        <v>797412.48</v>
      </c>
      <c r="F36" s="2">
        <v>1539.69</v>
      </c>
    </row>
    <row r="37" ht="15.75" customHeight="1">
      <c r="A37" s="2" t="s">
        <v>30</v>
      </c>
      <c r="B37" s="2" t="s">
        <v>16</v>
      </c>
      <c r="C37" s="2" t="s">
        <v>20</v>
      </c>
      <c r="D37" s="2">
        <v>800979.78</v>
      </c>
      <c r="E37" s="2">
        <v>827638.19</v>
      </c>
      <c r="F37" s="2">
        <v>-26658.41</v>
      </c>
    </row>
    <row r="38" ht="15.75" customHeight="1">
      <c r="A38" s="2" t="s">
        <v>31</v>
      </c>
      <c r="B38" s="2" t="s">
        <v>28</v>
      </c>
      <c r="C38" s="2" t="s">
        <v>20</v>
      </c>
      <c r="D38" s="2">
        <v>820593.93</v>
      </c>
      <c r="E38" s="2">
        <v>776535.12</v>
      </c>
      <c r="F38" s="2">
        <v>44058.81</v>
      </c>
    </row>
    <row r="39" ht="15.75" customHeight="1">
      <c r="A39" s="2" t="s">
        <v>31</v>
      </c>
      <c r="B39" s="2" t="s">
        <v>28</v>
      </c>
      <c r="C39" s="2" t="s">
        <v>20</v>
      </c>
      <c r="D39" s="2">
        <v>718330.53</v>
      </c>
      <c r="E39" s="2">
        <v>765600.09</v>
      </c>
      <c r="F39" s="2">
        <v>-47269.56</v>
      </c>
    </row>
    <row r="40" ht="15.75" customHeight="1">
      <c r="A40" s="2" t="s">
        <v>31</v>
      </c>
      <c r="B40" s="2" t="s">
        <v>28</v>
      </c>
      <c r="C40" s="2" t="s">
        <v>20</v>
      </c>
      <c r="D40" s="2">
        <v>736633.4</v>
      </c>
      <c r="E40" s="2">
        <v>754768.1</v>
      </c>
      <c r="F40" s="2">
        <v>-18134.7</v>
      </c>
    </row>
    <row r="41" ht="15.75" customHeight="1">
      <c r="A41" s="2" t="s">
        <v>31</v>
      </c>
      <c r="B41" s="2" t="s">
        <v>28</v>
      </c>
      <c r="C41" s="2" t="s">
        <v>20</v>
      </c>
      <c r="D41" s="2">
        <v>828623.85</v>
      </c>
      <c r="E41" s="2">
        <v>841636.29</v>
      </c>
      <c r="F41" s="2">
        <v>-13012.44</v>
      </c>
    </row>
    <row r="42" ht="15.75" customHeight="1">
      <c r="A42" s="2" t="s">
        <v>32</v>
      </c>
      <c r="B42" s="2" t="s">
        <v>28</v>
      </c>
      <c r="C42" s="2" t="s">
        <v>15</v>
      </c>
      <c r="D42" s="2">
        <v>592195.85</v>
      </c>
      <c r="E42" s="2">
        <v>597352.56</v>
      </c>
      <c r="F42" s="2">
        <v>-5156.71</v>
      </c>
    </row>
    <row r="43" ht="15.75" customHeight="1">
      <c r="A43" s="2" t="s">
        <v>32</v>
      </c>
      <c r="B43" s="2" t="s">
        <v>28</v>
      </c>
      <c r="C43" s="2" t="s">
        <v>15</v>
      </c>
      <c r="D43" s="2">
        <v>532644.46</v>
      </c>
      <c r="E43" s="2">
        <v>527383.3</v>
      </c>
      <c r="F43" s="2">
        <v>5261.16</v>
      </c>
    </row>
    <row r="44" ht="15.75" customHeight="1">
      <c r="A44" s="2" t="s">
        <v>32</v>
      </c>
      <c r="B44" s="2" t="s">
        <v>28</v>
      </c>
      <c r="C44" s="2" t="s">
        <v>15</v>
      </c>
      <c r="D44" s="2">
        <v>657429.18</v>
      </c>
      <c r="E44" s="2">
        <v>606982.19</v>
      </c>
      <c r="F44" s="2">
        <v>50446.99</v>
      </c>
    </row>
    <row r="45" ht="15.75" customHeight="1">
      <c r="A45" s="2" t="s">
        <v>32</v>
      </c>
      <c r="B45" s="2" t="s">
        <v>28</v>
      </c>
      <c r="C45" s="2" t="s">
        <v>15</v>
      </c>
      <c r="D45" s="2">
        <v>605178.0</v>
      </c>
      <c r="E45" s="2">
        <v>607552.86</v>
      </c>
      <c r="F45" s="2">
        <v>-2374.86</v>
      </c>
    </row>
    <row r="46" ht="15.75" customHeight="1">
      <c r="A46" s="2" t="s">
        <v>33</v>
      </c>
      <c r="B46" s="2" t="s">
        <v>16</v>
      </c>
      <c r="C46" s="2" t="s">
        <v>27</v>
      </c>
      <c r="D46" s="2">
        <v>595467.6</v>
      </c>
      <c r="E46" s="2">
        <v>719855.23</v>
      </c>
      <c r="F46" s="2">
        <v>-124387.63</v>
      </c>
    </row>
    <row r="47" ht="15.75" customHeight="1">
      <c r="A47" s="2" t="s">
        <v>33</v>
      </c>
      <c r="B47" s="2" t="s">
        <v>16</v>
      </c>
      <c r="C47" s="2" t="s">
        <v>27</v>
      </c>
      <c r="D47" s="2">
        <v>599603.4</v>
      </c>
      <c r="E47" s="2">
        <v>636905.1</v>
      </c>
      <c r="F47" s="2">
        <v>-37301.7</v>
      </c>
    </row>
    <row r="48" ht="15.75" customHeight="1">
      <c r="A48" s="2" t="s">
        <v>33</v>
      </c>
      <c r="B48" s="2" t="s">
        <v>16</v>
      </c>
      <c r="C48" s="2" t="s">
        <v>27</v>
      </c>
      <c r="D48" s="2">
        <v>614800.09</v>
      </c>
      <c r="E48" s="2">
        <v>570343.5</v>
      </c>
      <c r="F48" s="2">
        <v>44456.59</v>
      </c>
    </row>
    <row r="49" ht="15.75" customHeight="1">
      <c r="A49" s="2" t="s">
        <v>33</v>
      </c>
      <c r="B49" s="2" t="s">
        <v>16</v>
      </c>
      <c r="C49" s="2" t="s">
        <v>27</v>
      </c>
      <c r="D49" s="2">
        <v>585365.73</v>
      </c>
      <c r="E49" s="2">
        <v>570469.92</v>
      </c>
      <c r="F49" s="2">
        <v>14895.81</v>
      </c>
    </row>
    <row r="50" ht="15.75" customHeight="1">
      <c r="A50" s="2" t="s">
        <v>34</v>
      </c>
      <c r="B50" s="2" t="s">
        <v>28</v>
      </c>
      <c r="C50" s="2" t="s">
        <v>20</v>
      </c>
      <c r="D50" s="2">
        <v>622811.74</v>
      </c>
      <c r="E50" s="2">
        <v>652819.09</v>
      </c>
      <c r="F50" s="2">
        <v>-30007.35</v>
      </c>
    </row>
    <row r="51" ht="15.75" customHeight="1">
      <c r="A51" s="2" t="s">
        <v>34</v>
      </c>
      <c r="B51" s="2" t="s">
        <v>28</v>
      </c>
      <c r="C51" s="2" t="s">
        <v>20</v>
      </c>
      <c r="D51" s="2">
        <v>603297.57</v>
      </c>
      <c r="E51" s="2">
        <v>595951.59</v>
      </c>
      <c r="F51" s="2">
        <v>7345.98</v>
      </c>
    </row>
    <row r="52" ht="15.75" customHeight="1">
      <c r="A52" s="2" t="s">
        <v>34</v>
      </c>
      <c r="B52" s="2" t="s">
        <v>28</v>
      </c>
      <c r="C52" s="2" t="s">
        <v>20</v>
      </c>
      <c r="D52" s="2">
        <v>625672.86</v>
      </c>
      <c r="E52" s="2">
        <v>606329.01</v>
      </c>
      <c r="F52" s="2">
        <v>19343.85</v>
      </c>
    </row>
    <row r="53" ht="15.75" customHeight="1">
      <c r="A53" s="2" t="s">
        <v>34</v>
      </c>
      <c r="B53" s="2" t="s">
        <v>28</v>
      </c>
      <c r="C53" s="2" t="s">
        <v>20</v>
      </c>
      <c r="D53" s="2">
        <v>773815.14</v>
      </c>
      <c r="E53" s="2">
        <v>744820.9</v>
      </c>
      <c r="F53" s="2">
        <v>28994.24</v>
      </c>
    </row>
    <row r="54" ht="15.75" customHeight="1">
      <c r="A54" s="2" t="s">
        <v>35</v>
      </c>
      <c r="B54" s="2" t="s">
        <v>18</v>
      </c>
      <c r="C54" s="2" t="s">
        <v>27</v>
      </c>
      <c r="D54" s="2">
        <v>463534.25</v>
      </c>
      <c r="E54" s="2">
        <v>550428.12</v>
      </c>
      <c r="F54" s="2">
        <v>-86893.87</v>
      </c>
    </row>
    <row r="55" ht="15.75" customHeight="1">
      <c r="A55" s="2" t="s">
        <v>35</v>
      </c>
      <c r="B55" s="2" t="s">
        <v>18</v>
      </c>
      <c r="C55" s="2" t="s">
        <v>27</v>
      </c>
      <c r="D55" s="2">
        <v>746677.75</v>
      </c>
      <c r="E55" s="2">
        <v>707210.03</v>
      </c>
      <c r="F55" s="2">
        <v>39467.72</v>
      </c>
    </row>
    <row r="56" ht="15.75" customHeight="1">
      <c r="A56" s="2" t="s">
        <v>35</v>
      </c>
      <c r="B56" s="2" t="s">
        <v>18</v>
      </c>
      <c r="C56" s="2" t="s">
        <v>27</v>
      </c>
      <c r="D56" s="2">
        <v>720852.5</v>
      </c>
      <c r="E56" s="2">
        <v>672586.52</v>
      </c>
      <c r="F56" s="2">
        <v>48265.98</v>
      </c>
    </row>
    <row r="57" ht="15.75" customHeight="1">
      <c r="A57" s="2" t="s">
        <v>35</v>
      </c>
      <c r="B57" s="2" t="s">
        <v>18</v>
      </c>
      <c r="C57" s="2" t="s">
        <v>27</v>
      </c>
      <c r="D57" s="2">
        <v>487464.91</v>
      </c>
      <c r="E57" s="2">
        <v>535127.63</v>
      </c>
      <c r="F57" s="2">
        <v>-47662.72</v>
      </c>
    </row>
    <row r="58" ht="15.75" customHeight="1">
      <c r="A58" s="2" t="s">
        <v>36</v>
      </c>
      <c r="B58" s="2" t="s">
        <v>21</v>
      </c>
      <c r="C58" s="2" t="s">
        <v>15</v>
      </c>
      <c r="D58" s="2">
        <v>518049.26</v>
      </c>
      <c r="E58" s="2">
        <v>548092.77</v>
      </c>
      <c r="F58" s="2">
        <v>-30043.51</v>
      </c>
    </row>
    <row r="59" ht="15.75" customHeight="1">
      <c r="A59" s="2" t="s">
        <v>36</v>
      </c>
      <c r="B59" s="2" t="s">
        <v>21</v>
      </c>
      <c r="C59" s="2" t="s">
        <v>15</v>
      </c>
      <c r="D59" s="2">
        <v>500298.48</v>
      </c>
      <c r="E59" s="2">
        <v>540327.04</v>
      </c>
      <c r="F59" s="2">
        <v>-40028.56</v>
      </c>
    </row>
    <row r="60" ht="15.75" customHeight="1">
      <c r="A60" s="2" t="s">
        <v>36</v>
      </c>
      <c r="B60" s="2" t="s">
        <v>21</v>
      </c>
      <c r="C60" s="2" t="s">
        <v>15</v>
      </c>
      <c r="D60" s="2">
        <v>617291.15</v>
      </c>
      <c r="E60" s="2">
        <v>684899.27</v>
      </c>
      <c r="F60" s="2">
        <v>-67608.12</v>
      </c>
    </row>
    <row r="61" ht="15.75" customHeight="1">
      <c r="A61" s="2" t="s">
        <v>36</v>
      </c>
      <c r="B61" s="2" t="s">
        <v>21</v>
      </c>
      <c r="C61" s="2" t="s">
        <v>15</v>
      </c>
      <c r="D61" s="2">
        <v>553756.43</v>
      </c>
      <c r="E61" s="2">
        <v>631049.36</v>
      </c>
      <c r="F61" s="2">
        <v>-77292.93</v>
      </c>
    </row>
    <row r="62" ht="15.75" customHeight="1">
      <c r="A62" s="2" t="s">
        <v>37</v>
      </c>
      <c r="B62" s="2" t="s">
        <v>18</v>
      </c>
      <c r="C62" s="2" t="s">
        <v>24</v>
      </c>
      <c r="D62" s="2">
        <v>749559.71</v>
      </c>
      <c r="E62" s="2">
        <v>688031.87</v>
      </c>
      <c r="F62" s="2">
        <v>61527.84</v>
      </c>
    </row>
    <row r="63" ht="15.75" customHeight="1">
      <c r="A63" s="2" t="s">
        <v>37</v>
      </c>
      <c r="B63" s="2" t="s">
        <v>18</v>
      </c>
      <c r="C63" s="2" t="s">
        <v>24</v>
      </c>
      <c r="D63" s="2">
        <v>615966.48</v>
      </c>
      <c r="E63" s="2">
        <v>565652.08</v>
      </c>
      <c r="F63" s="2">
        <v>50314.4</v>
      </c>
    </row>
    <row r="64" ht="15.75" customHeight="1">
      <c r="A64" s="2" t="s">
        <v>37</v>
      </c>
      <c r="B64" s="2" t="s">
        <v>18</v>
      </c>
      <c r="C64" s="2" t="s">
        <v>24</v>
      </c>
      <c r="D64" s="2">
        <v>572011.2</v>
      </c>
      <c r="E64" s="2">
        <v>577343.45</v>
      </c>
      <c r="F64" s="2">
        <v>-5332.25</v>
      </c>
    </row>
    <row r="65" ht="15.75" customHeight="1">
      <c r="A65" s="2" t="s">
        <v>37</v>
      </c>
      <c r="B65" s="2" t="s">
        <v>18</v>
      </c>
      <c r="C65" s="2" t="s">
        <v>24</v>
      </c>
      <c r="D65" s="2">
        <v>761860.19</v>
      </c>
      <c r="E65" s="2">
        <v>714802.38</v>
      </c>
      <c r="F65" s="2">
        <v>47057.81</v>
      </c>
    </row>
    <row r="66" ht="15.75" customHeight="1">
      <c r="A66" s="2" t="s">
        <v>38</v>
      </c>
      <c r="B66" s="2" t="s">
        <v>18</v>
      </c>
      <c r="C66" s="2" t="s">
        <v>27</v>
      </c>
      <c r="D66" s="2">
        <v>784502.68</v>
      </c>
      <c r="E66" s="2">
        <v>811255.43</v>
      </c>
      <c r="F66" s="2">
        <v>-26752.75</v>
      </c>
    </row>
    <row r="67" ht="15.75" customHeight="1">
      <c r="A67" s="2" t="s">
        <v>38</v>
      </c>
      <c r="B67" s="2" t="s">
        <v>18</v>
      </c>
      <c r="C67" s="2" t="s">
        <v>27</v>
      </c>
      <c r="D67" s="2">
        <v>717141.55</v>
      </c>
      <c r="E67" s="2">
        <v>734786.64</v>
      </c>
      <c r="F67" s="2">
        <v>-17645.09</v>
      </c>
    </row>
    <row r="68" ht="15.75" customHeight="1">
      <c r="A68" s="2" t="s">
        <v>38</v>
      </c>
      <c r="B68" s="2" t="s">
        <v>18</v>
      </c>
      <c r="C68" s="2" t="s">
        <v>27</v>
      </c>
      <c r="D68" s="2">
        <v>685379.08</v>
      </c>
      <c r="E68" s="2">
        <v>839367.38</v>
      </c>
      <c r="F68" s="2">
        <v>-153988.3</v>
      </c>
    </row>
    <row r="69" ht="15.75" customHeight="1">
      <c r="A69" s="2" t="s">
        <v>38</v>
      </c>
      <c r="B69" s="2" t="s">
        <v>18</v>
      </c>
      <c r="C69" s="2" t="s">
        <v>27</v>
      </c>
      <c r="D69" s="2">
        <v>740496.65</v>
      </c>
      <c r="E69" s="2">
        <v>727189.04</v>
      </c>
      <c r="F69" s="2">
        <v>13307.61</v>
      </c>
    </row>
    <row r="70" ht="15.75" customHeight="1">
      <c r="A70" s="2" t="s">
        <v>39</v>
      </c>
      <c r="B70" s="2" t="s">
        <v>18</v>
      </c>
      <c r="C70" s="2" t="s">
        <v>15</v>
      </c>
      <c r="D70" s="2">
        <v>661927.14</v>
      </c>
      <c r="E70" s="2">
        <v>599942.78</v>
      </c>
      <c r="F70" s="2">
        <v>61984.36</v>
      </c>
    </row>
    <row r="71" ht="15.75" customHeight="1">
      <c r="A71" s="2" t="s">
        <v>39</v>
      </c>
      <c r="B71" s="2" t="s">
        <v>18</v>
      </c>
      <c r="C71" s="2" t="s">
        <v>15</v>
      </c>
      <c r="D71" s="2">
        <v>479050.5</v>
      </c>
      <c r="E71" s="2">
        <v>516234.15</v>
      </c>
      <c r="F71" s="2">
        <v>-37183.65</v>
      </c>
    </row>
    <row r="72" ht="15.75" customHeight="1">
      <c r="A72" s="2" t="s">
        <v>39</v>
      </c>
      <c r="B72" s="2" t="s">
        <v>18</v>
      </c>
      <c r="C72" s="2" t="s">
        <v>15</v>
      </c>
      <c r="D72" s="2">
        <v>605023.87</v>
      </c>
      <c r="E72" s="2">
        <v>597023.43</v>
      </c>
      <c r="F72" s="2">
        <v>8000.44</v>
      </c>
    </row>
    <row r="73" ht="15.75" customHeight="1">
      <c r="A73" s="2" t="s">
        <v>39</v>
      </c>
      <c r="B73" s="2" t="s">
        <v>18</v>
      </c>
      <c r="C73" s="2" t="s">
        <v>15</v>
      </c>
      <c r="D73" s="2">
        <v>674774.09</v>
      </c>
      <c r="E73" s="2">
        <v>636056.4</v>
      </c>
      <c r="F73" s="2">
        <v>38717.69</v>
      </c>
    </row>
    <row r="74" ht="15.75" customHeight="1">
      <c r="A74" s="2" t="s">
        <v>40</v>
      </c>
      <c r="B74" s="2" t="s">
        <v>16</v>
      </c>
      <c r="C74" s="2" t="s">
        <v>15</v>
      </c>
      <c r="D74" s="2">
        <v>616069.41</v>
      </c>
      <c r="E74" s="2">
        <v>594822.54</v>
      </c>
      <c r="F74" s="2">
        <v>21246.87</v>
      </c>
    </row>
    <row r="75" ht="15.75" customHeight="1">
      <c r="A75" s="2" t="s">
        <v>40</v>
      </c>
      <c r="B75" s="2" t="s">
        <v>16</v>
      </c>
      <c r="C75" s="2" t="s">
        <v>15</v>
      </c>
      <c r="D75" s="2">
        <v>630829.94</v>
      </c>
      <c r="E75" s="2">
        <v>694547.65</v>
      </c>
      <c r="F75" s="2">
        <v>-63717.71</v>
      </c>
    </row>
    <row r="76" ht="15.75" customHeight="1">
      <c r="A76" s="2" t="s">
        <v>40</v>
      </c>
      <c r="B76" s="2" t="s">
        <v>16</v>
      </c>
      <c r="C76" s="2" t="s">
        <v>15</v>
      </c>
      <c r="D76" s="2">
        <v>788087.68</v>
      </c>
      <c r="E76" s="2">
        <v>711145.07</v>
      </c>
      <c r="F76" s="2">
        <v>76942.61</v>
      </c>
    </row>
    <row r="77" ht="15.75" customHeight="1">
      <c r="A77" s="2" t="s">
        <v>40</v>
      </c>
      <c r="B77" s="2" t="s">
        <v>16</v>
      </c>
      <c r="C77" s="2" t="s">
        <v>15</v>
      </c>
      <c r="D77" s="2">
        <v>680840.36</v>
      </c>
      <c r="E77" s="2">
        <v>715257.4</v>
      </c>
      <c r="F77" s="2">
        <v>-34417.04</v>
      </c>
    </row>
    <row r="78" ht="15.75" customHeight="1">
      <c r="A78" s="2" t="s">
        <v>41</v>
      </c>
      <c r="B78" s="2" t="s">
        <v>18</v>
      </c>
      <c r="C78" s="2" t="s">
        <v>24</v>
      </c>
      <c r="D78" s="2">
        <v>643657.47</v>
      </c>
      <c r="E78" s="2">
        <v>648299.03</v>
      </c>
      <c r="F78" s="2">
        <v>-4641.56</v>
      </c>
    </row>
    <row r="79" ht="15.75" customHeight="1">
      <c r="A79" s="2" t="s">
        <v>41</v>
      </c>
      <c r="B79" s="2" t="s">
        <v>18</v>
      </c>
      <c r="C79" s="2" t="s">
        <v>24</v>
      </c>
      <c r="D79" s="2">
        <v>691112.6</v>
      </c>
      <c r="E79" s="2">
        <v>641559.59</v>
      </c>
      <c r="F79" s="2">
        <v>49553.01</v>
      </c>
    </row>
    <row r="80" ht="15.75" customHeight="1">
      <c r="A80" s="2" t="s">
        <v>41</v>
      </c>
      <c r="B80" s="2" t="s">
        <v>18</v>
      </c>
      <c r="C80" s="2" t="s">
        <v>24</v>
      </c>
      <c r="D80" s="2">
        <v>776922.17</v>
      </c>
      <c r="E80" s="2">
        <v>719726.96</v>
      </c>
      <c r="F80" s="2">
        <v>57195.21</v>
      </c>
    </row>
    <row r="81" ht="15.75" customHeight="1">
      <c r="A81" s="2" t="s">
        <v>41</v>
      </c>
      <c r="B81" s="2" t="s">
        <v>18</v>
      </c>
      <c r="C81" s="2" t="s">
        <v>24</v>
      </c>
      <c r="D81" s="2">
        <v>636561.34</v>
      </c>
      <c r="E81" s="2">
        <v>661356.33</v>
      </c>
      <c r="F81" s="2">
        <v>-24794.99</v>
      </c>
    </row>
    <row r="82" ht="15.75" customHeight="1">
      <c r="A82" s="2" t="s">
        <v>42</v>
      </c>
      <c r="B82" s="2" t="s">
        <v>28</v>
      </c>
      <c r="C82" s="2" t="s">
        <v>27</v>
      </c>
      <c r="D82" s="2">
        <v>621369.58</v>
      </c>
      <c r="E82" s="2">
        <v>647253.86</v>
      </c>
      <c r="F82" s="2">
        <v>-25884.28</v>
      </c>
    </row>
    <row r="83" ht="15.75" customHeight="1">
      <c r="A83" s="2" t="s">
        <v>42</v>
      </c>
      <c r="B83" s="2" t="s">
        <v>28</v>
      </c>
      <c r="C83" s="2" t="s">
        <v>27</v>
      </c>
      <c r="D83" s="2">
        <v>682208.01</v>
      </c>
      <c r="E83" s="2">
        <v>623693.85</v>
      </c>
      <c r="F83" s="2">
        <v>58514.16</v>
      </c>
    </row>
    <row r="84" ht="15.75" customHeight="1">
      <c r="A84" s="2" t="s">
        <v>42</v>
      </c>
      <c r="B84" s="2" t="s">
        <v>28</v>
      </c>
      <c r="C84" s="2" t="s">
        <v>27</v>
      </c>
      <c r="D84" s="2">
        <v>727241.86</v>
      </c>
      <c r="E84" s="2">
        <v>648781.04</v>
      </c>
      <c r="F84" s="2">
        <v>78460.82</v>
      </c>
    </row>
    <row r="85" ht="15.75" customHeight="1">
      <c r="A85" s="2" t="s">
        <v>42</v>
      </c>
      <c r="B85" s="2" t="s">
        <v>28</v>
      </c>
      <c r="C85" s="2" t="s">
        <v>27</v>
      </c>
      <c r="D85" s="2">
        <v>569100.78</v>
      </c>
      <c r="E85" s="2">
        <v>545923.94</v>
      </c>
      <c r="F85" s="2">
        <v>23176.84</v>
      </c>
    </row>
    <row r="86" ht="15.75" customHeight="1">
      <c r="A86" s="2" t="s">
        <v>43</v>
      </c>
      <c r="B86" s="2" t="s">
        <v>18</v>
      </c>
      <c r="C86" s="2" t="s">
        <v>27</v>
      </c>
      <c r="D86" s="2">
        <v>574436.29</v>
      </c>
      <c r="E86" s="2">
        <v>545883.11</v>
      </c>
      <c r="F86" s="2">
        <v>28553.18</v>
      </c>
    </row>
    <row r="87" ht="15.75" customHeight="1">
      <c r="A87" s="2" t="s">
        <v>43</v>
      </c>
      <c r="B87" s="2" t="s">
        <v>18</v>
      </c>
      <c r="C87" s="2" t="s">
        <v>27</v>
      </c>
      <c r="D87" s="2">
        <v>611766.72</v>
      </c>
      <c r="E87" s="2">
        <v>641433.83</v>
      </c>
      <c r="F87" s="2">
        <v>-29667.11</v>
      </c>
    </row>
    <row r="88" ht="15.75" customHeight="1">
      <c r="A88" s="2" t="s">
        <v>43</v>
      </c>
      <c r="B88" s="2" t="s">
        <v>18</v>
      </c>
      <c r="C88" s="2" t="s">
        <v>27</v>
      </c>
      <c r="D88" s="2">
        <v>614596.32</v>
      </c>
      <c r="E88" s="2">
        <v>612769.48</v>
      </c>
      <c r="F88" s="2">
        <v>1826.84</v>
      </c>
    </row>
    <row r="89" ht="15.75" customHeight="1">
      <c r="A89" s="2" t="s">
        <v>43</v>
      </c>
      <c r="B89" s="2" t="s">
        <v>18</v>
      </c>
      <c r="C89" s="2" t="s">
        <v>27</v>
      </c>
      <c r="D89" s="2">
        <v>450711.92</v>
      </c>
      <c r="E89" s="2">
        <v>458952.19</v>
      </c>
      <c r="F89" s="2">
        <v>-8240.27</v>
      </c>
    </row>
    <row r="90" ht="15.75" customHeight="1">
      <c r="A90" s="2" t="s">
        <v>44</v>
      </c>
      <c r="B90" s="2" t="s">
        <v>28</v>
      </c>
      <c r="C90" s="2" t="s">
        <v>24</v>
      </c>
      <c r="D90" s="2">
        <v>711213.46</v>
      </c>
      <c r="E90" s="2">
        <v>675257.35</v>
      </c>
      <c r="F90" s="2">
        <v>35956.11</v>
      </c>
    </row>
    <row r="91" ht="15.75" customHeight="1">
      <c r="A91" s="2" t="s">
        <v>44</v>
      </c>
      <c r="B91" s="2" t="s">
        <v>28</v>
      </c>
      <c r="C91" s="2" t="s">
        <v>24</v>
      </c>
      <c r="D91" s="2">
        <v>627171.9</v>
      </c>
      <c r="E91" s="2">
        <v>742440.87</v>
      </c>
      <c r="F91" s="2">
        <v>-115268.97</v>
      </c>
    </row>
    <row r="92" ht="15.75" customHeight="1">
      <c r="A92" s="2" t="s">
        <v>44</v>
      </c>
      <c r="B92" s="2" t="s">
        <v>28</v>
      </c>
      <c r="C92" s="2" t="s">
        <v>24</v>
      </c>
      <c r="D92" s="2">
        <v>739852.58</v>
      </c>
      <c r="E92" s="2">
        <v>718434.08</v>
      </c>
      <c r="F92" s="2">
        <v>21418.5</v>
      </c>
    </row>
    <row r="93" ht="15.75" customHeight="1">
      <c r="A93" s="2" t="s">
        <v>44</v>
      </c>
      <c r="B93" s="2" t="s">
        <v>28</v>
      </c>
      <c r="C93" s="2" t="s">
        <v>24</v>
      </c>
      <c r="D93" s="2">
        <v>586307.22</v>
      </c>
      <c r="E93" s="2">
        <v>555227.63</v>
      </c>
      <c r="F93" s="2">
        <v>31079.59</v>
      </c>
    </row>
    <row r="94" ht="15.75" customHeight="1">
      <c r="A94" s="2" t="s">
        <v>45</v>
      </c>
      <c r="B94" s="2" t="s">
        <v>16</v>
      </c>
      <c r="C94" s="2" t="s">
        <v>27</v>
      </c>
      <c r="D94" s="2">
        <v>585937.48</v>
      </c>
      <c r="E94" s="2">
        <v>586398.47</v>
      </c>
      <c r="F94" s="2">
        <v>-460.99</v>
      </c>
    </row>
    <row r="95" ht="15.75" customHeight="1">
      <c r="A95" s="2" t="s">
        <v>45</v>
      </c>
      <c r="B95" s="2" t="s">
        <v>16</v>
      </c>
      <c r="C95" s="2" t="s">
        <v>27</v>
      </c>
      <c r="D95" s="2">
        <v>753473.55</v>
      </c>
      <c r="E95" s="2">
        <v>681112.58</v>
      </c>
      <c r="F95" s="2">
        <v>72360.97</v>
      </c>
    </row>
    <row r="96" ht="15.75" customHeight="1">
      <c r="A96" s="2" t="s">
        <v>45</v>
      </c>
      <c r="B96" s="2" t="s">
        <v>16</v>
      </c>
      <c r="C96" s="2" t="s">
        <v>27</v>
      </c>
      <c r="D96" s="2">
        <v>838250.32</v>
      </c>
      <c r="E96" s="2">
        <v>750269.54</v>
      </c>
      <c r="F96" s="2">
        <v>87980.78</v>
      </c>
    </row>
    <row r="97" ht="15.75" customHeight="1">
      <c r="A97" s="2" t="s">
        <v>45</v>
      </c>
      <c r="B97" s="2" t="s">
        <v>16</v>
      </c>
      <c r="C97" s="2" t="s">
        <v>27</v>
      </c>
      <c r="D97" s="2">
        <v>607898.12</v>
      </c>
      <c r="E97" s="2">
        <v>608920.8</v>
      </c>
      <c r="F97" s="2">
        <v>-1022.68</v>
      </c>
    </row>
    <row r="98" ht="15.75" customHeight="1">
      <c r="A98" s="2" t="s">
        <v>46</v>
      </c>
      <c r="B98" s="2" t="s">
        <v>28</v>
      </c>
      <c r="C98" s="2" t="s">
        <v>27</v>
      </c>
      <c r="D98" s="2">
        <v>691113.62</v>
      </c>
      <c r="E98" s="2">
        <v>708580.92</v>
      </c>
      <c r="F98" s="2">
        <v>-17467.3</v>
      </c>
    </row>
    <row r="99" ht="15.75" customHeight="1">
      <c r="A99" s="2" t="s">
        <v>46</v>
      </c>
      <c r="B99" s="2" t="s">
        <v>28</v>
      </c>
      <c r="C99" s="2" t="s">
        <v>27</v>
      </c>
      <c r="D99" s="2">
        <v>735509.4</v>
      </c>
      <c r="E99" s="2">
        <v>661225.06</v>
      </c>
      <c r="F99" s="2">
        <v>74284.34</v>
      </c>
    </row>
    <row r="100" ht="15.75" customHeight="1">
      <c r="A100" s="2" t="s">
        <v>46</v>
      </c>
      <c r="B100" s="2" t="s">
        <v>28</v>
      </c>
      <c r="C100" s="2" t="s">
        <v>27</v>
      </c>
      <c r="D100" s="2">
        <v>605775.33</v>
      </c>
      <c r="E100" s="2">
        <v>619306.18</v>
      </c>
      <c r="F100" s="2">
        <v>-13530.85</v>
      </c>
    </row>
    <row r="101" ht="15.75" customHeight="1">
      <c r="A101" s="2" t="s">
        <v>46</v>
      </c>
      <c r="B101" s="2" t="s">
        <v>28</v>
      </c>
      <c r="C101" s="2" t="s">
        <v>27</v>
      </c>
      <c r="D101" s="2">
        <v>675177.68</v>
      </c>
      <c r="E101" s="2">
        <v>648266.66</v>
      </c>
      <c r="F101" s="2">
        <v>26911.02</v>
      </c>
    </row>
    <row r="102" ht="15.75" customHeight="1">
      <c r="A102" s="2" t="s">
        <v>47</v>
      </c>
      <c r="B102" s="2" t="s">
        <v>28</v>
      </c>
      <c r="C102" s="2" t="s">
        <v>15</v>
      </c>
      <c r="D102" s="2">
        <v>635181.35</v>
      </c>
      <c r="E102" s="2">
        <v>602361.46</v>
      </c>
      <c r="F102" s="2">
        <v>32819.89</v>
      </c>
    </row>
    <row r="103" ht="15.75" customHeight="1">
      <c r="A103" s="2" t="s">
        <v>47</v>
      </c>
      <c r="B103" s="2" t="s">
        <v>28</v>
      </c>
      <c r="C103" s="2" t="s">
        <v>15</v>
      </c>
      <c r="D103" s="2">
        <v>586626.94</v>
      </c>
      <c r="E103" s="2">
        <v>637336.43</v>
      </c>
      <c r="F103" s="2">
        <v>-50709.49</v>
      </c>
    </row>
    <row r="104" ht="15.75" customHeight="1">
      <c r="A104" s="2" t="s">
        <v>47</v>
      </c>
      <c r="B104" s="2" t="s">
        <v>28</v>
      </c>
      <c r="C104" s="2" t="s">
        <v>15</v>
      </c>
      <c r="D104" s="2">
        <v>740102.64</v>
      </c>
      <c r="E104" s="2">
        <v>709185.83</v>
      </c>
      <c r="F104" s="2">
        <v>30916.81</v>
      </c>
    </row>
    <row r="105" ht="15.75" customHeight="1">
      <c r="A105" s="2" t="s">
        <v>47</v>
      </c>
      <c r="B105" s="2" t="s">
        <v>28</v>
      </c>
      <c r="C105" s="2" t="s">
        <v>15</v>
      </c>
      <c r="D105" s="2">
        <v>625514.04</v>
      </c>
      <c r="E105" s="2">
        <v>531605.8</v>
      </c>
      <c r="F105" s="2">
        <v>93908.24</v>
      </c>
    </row>
    <row r="106" ht="15.75" customHeight="1">
      <c r="A106" s="2" t="s">
        <v>48</v>
      </c>
      <c r="B106" s="2" t="s">
        <v>18</v>
      </c>
      <c r="C106" s="2" t="s">
        <v>27</v>
      </c>
      <c r="D106" s="2">
        <v>727227.2</v>
      </c>
      <c r="E106" s="2">
        <v>700083.51</v>
      </c>
      <c r="F106" s="2">
        <v>27143.69</v>
      </c>
    </row>
    <row r="107" ht="15.75" customHeight="1">
      <c r="A107" s="2" t="s">
        <v>48</v>
      </c>
      <c r="B107" s="2" t="s">
        <v>18</v>
      </c>
      <c r="C107" s="2" t="s">
        <v>27</v>
      </c>
      <c r="D107" s="2">
        <v>783797.89</v>
      </c>
      <c r="E107" s="2">
        <v>788527.02</v>
      </c>
      <c r="F107" s="2">
        <v>-4729.13</v>
      </c>
    </row>
    <row r="108" ht="15.75" customHeight="1">
      <c r="A108" s="2" t="s">
        <v>48</v>
      </c>
      <c r="B108" s="2" t="s">
        <v>18</v>
      </c>
      <c r="C108" s="2" t="s">
        <v>27</v>
      </c>
      <c r="D108" s="2">
        <v>795153.84</v>
      </c>
      <c r="E108" s="2">
        <v>714567.33</v>
      </c>
      <c r="F108" s="2">
        <v>80586.51</v>
      </c>
    </row>
    <row r="109" ht="15.75" customHeight="1">
      <c r="A109" s="2" t="s">
        <v>48</v>
      </c>
      <c r="B109" s="2" t="s">
        <v>18</v>
      </c>
      <c r="C109" s="2" t="s">
        <v>27</v>
      </c>
      <c r="D109" s="2">
        <v>665594.94</v>
      </c>
      <c r="E109" s="2">
        <v>659862.05</v>
      </c>
      <c r="F109" s="2">
        <v>5732.89</v>
      </c>
    </row>
    <row r="110" ht="15.75" customHeight="1">
      <c r="A110" s="2" t="s">
        <v>49</v>
      </c>
      <c r="B110" s="2" t="s">
        <v>28</v>
      </c>
      <c r="C110" s="2" t="s">
        <v>15</v>
      </c>
      <c r="D110" s="2">
        <v>709478.39</v>
      </c>
      <c r="E110" s="2">
        <v>691141.85</v>
      </c>
      <c r="F110" s="2">
        <v>18336.54</v>
      </c>
    </row>
    <row r="111" ht="15.75" customHeight="1">
      <c r="A111" s="2" t="s">
        <v>49</v>
      </c>
      <c r="B111" s="2" t="s">
        <v>28</v>
      </c>
      <c r="C111" s="2" t="s">
        <v>15</v>
      </c>
      <c r="D111" s="2">
        <v>664162.49</v>
      </c>
      <c r="E111" s="2">
        <v>662361.87</v>
      </c>
      <c r="F111" s="2">
        <v>1800.62</v>
      </c>
    </row>
    <row r="112" ht="15.75" customHeight="1">
      <c r="A112" s="2" t="s">
        <v>49</v>
      </c>
      <c r="B112" s="2" t="s">
        <v>28</v>
      </c>
      <c r="C112" s="2" t="s">
        <v>15</v>
      </c>
      <c r="D112" s="2">
        <v>633494.21</v>
      </c>
      <c r="E112" s="2">
        <v>657148.03</v>
      </c>
      <c r="F112" s="2">
        <v>-23653.82</v>
      </c>
    </row>
    <row r="113" ht="15.75" customHeight="1">
      <c r="A113" s="2" t="s">
        <v>49</v>
      </c>
      <c r="B113" s="2" t="s">
        <v>28</v>
      </c>
      <c r="C113" s="2" t="s">
        <v>15</v>
      </c>
      <c r="D113" s="2">
        <v>713611.16</v>
      </c>
      <c r="E113" s="2">
        <v>615096.53</v>
      </c>
      <c r="F113" s="2">
        <v>98514.63</v>
      </c>
    </row>
    <row r="114" ht="15.75" customHeight="1">
      <c r="A114" s="2" t="s">
        <v>50</v>
      </c>
      <c r="B114" s="2" t="s">
        <v>28</v>
      </c>
      <c r="C114" s="2" t="s">
        <v>27</v>
      </c>
      <c r="D114" s="2">
        <v>778397.97</v>
      </c>
      <c r="E114" s="2">
        <v>746010.34</v>
      </c>
      <c r="F114" s="2">
        <v>32387.63</v>
      </c>
    </row>
    <row r="115" ht="15.75" customHeight="1">
      <c r="A115" s="2" t="s">
        <v>50</v>
      </c>
      <c r="B115" s="2" t="s">
        <v>28</v>
      </c>
      <c r="C115" s="2" t="s">
        <v>27</v>
      </c>
      <c r="D115" s="2">
        <v>873380.02</v>
      </c>
      <c r="E115" s="2">
        <v>838438.6</v>
      </c>
      <c r="F115" s="2">
        <v>34941.42</v>
      </c>
    </row>
    <row r="116" ht="15.75" customHeight="1">
      <c r="A116" s="2" t="s">
        <v>50</v>
      </c>
      <c r="B116" s="2" t="s">
        <v>28</v>
      </c>
      <c r="C116" s="2" t="s">
        <v>27</v>
      </c>
      <c r="D116" s="2">
        <v>697287.9</v>
      </c>
      <c r="E116" s="2">
        <v>760999.5</v>
      </c>
      <c r="F116" s="2">
        <v>-63711.6</v>
      </c>
    </row>
    <row r="117" ht="15.75" customHeight="1">
      <c r="A117" s="2" t="s">
        <v>50</v>
      </c>
      <c r="B117" s="2" t="s">
        <v>28</v>
      </c>
      <c r="C117" s="2" t="s">
        <v>27</v>
      </c>
      <c r="D117" s="2">
        <v>718074.79</v>
      </c>
      <c r="E117" s="2">
        <v>765551.81</v>
      </c>
      <c r="F117" s="2">
        <v>-47477.02</v>
      </c>
    </row>
    <row r="118" ht="15.75" customHeight="1">
      <c r="A118" s="2" t="s">
        <v>51</v>
      </c>
      <c r="B118" s="2" t="s">
        <v>16</v>
      </c>
      <c r="C118" s="2" t="s">
        <v>27</v>
      </c>
      <c r="D118" s="2">
        <v>714942.43</v>
      </c>
      <c r="E118" s="2">
        <v>695341.24</v>
      </c>
      <c r="F118" s="2">
        <v>19601.19</v>
      </c>
    </row>
    <row r="119" ht="15.75" customHeight="1">
      <c r="A119" s="2" t="s">
        <v>51</v>
      </c>
      <c r="B119" s="2" t="s">
        <v>16</v>
      </c>
      <c r="C119" s="2" t="s">
        <v>27</v>
      </c>
      <c r="D119" s="2">
        <v>820519.04</v>
      </c>
      <c r="E119" s="2">
        <v>712863.12</v>
      </c>
      <c r="F119" s="2">
        <v>107655.92</v>
      </c>
    </row>
    <row r="120" ht="15.75" customHeight="1">
      <c r="A120" s="2" t="s">
        <v>51</v>
      </c>
      <c r="B120" s="2" t="s">
        <v>16</v>
      </c>
      <c r="C120" s="2" t="s">
        <v>27</v>
      </c>
      <c r="D120" s="2">
        <v>684217.32</v>
      </c>
      <c r="E120" s="2">
        <v>734481.41</v>
      </c>
      <c r="F120" s="2">
        <v>-50264.09</v>
      </c>
    </row>
    <row r="121" ht="15.75" customHeight="1">
      <c r="A121" s="2" t="s">
        <v>51</v>
      </c>
      <c r="B121" s="2" t="s">
        <v>16</v>
      </c>
      <c r="C121" s="2" t="s">
        <v>27</v>
      </c>
      <c r="D121" s="2">
        <v>735480.19</v>
      </c>
      <c r="E121" s="2">
        <v>728158.01</v>
      </c>
      <c r="F121" s="2">
        <v>7322.18</v>
      </c>
    </row>
    <row r="122" ht="15.75" customHeight="1">
      <c r="A122" s="2" t="s">
        <v>52</v>
      </c>
      <c r="B122" s="2" t="s">
        <v>18</v>
      </c>
      <c r="C122" s="2" t="s">
        <v>20</v>
      </c>
      <c r="D122" s="2">
        <v>509484.81</v>
      </c>
      <c r="E122" s="2">
        <v>562953.64</v>
      </c>
      <c r="F122" s="2">
        <v>-53468.83</v>
      </c>
    </row>
    <row r="123" ht="15.75" customHeight="1">
      <c r="A123" s="2" t="s">
        <v>52</v>
      </c>
      <c r="B123" s="2" t="s">
        <v>18</v>
      </c>
      <c r="C123" s="2" t="s">
        <v>20</v>
      </c>
      <c r="D123" s="2">
        <v>654317.09</v>
      </c>
      <c r="E123" s="2">
        <v>626342.2</v>
      </c>
      <c r="F123" s="2">
        <v>27974.89</v>
      </c>
    </row>
    <row r="124" ht="15.75" customHeight="1">
      <c r="A124" s="2" t="s">
        <v>52</v>
      </c>
      <c r="B124" s="2" t="s">
        <v>18</v>
      </c>
      <c r="C124" s="2" t="s">
        <v>20</v>
      </c>
      <c r="D124" s="2">
        <v>557487.26</v>
      </c>
      <c r="E124" s="2">
        <v>598325.38</v>
      </c>
      <c r="F124" s="2">
        <v>-40838.12</v>
      </c>
    </row>
    <row r="125" ht="15.75" customHeight="1">
      <c r="A125" s="2" t="s">
        <v>52</v>
      </c>
      <c r="B125" s="2" t="s">
        <v>18</v>
      </c>
      <c r="C125" s="2" t="s">
        <v>20</v>
      </c>
      <c r="D125" s="2">
        <v>441275.42</v>
      </c>
      <c r="E125" s="2">
        <v>515704.79</v>
      </c>
      <c r="F125" s="2">
        <v>-74429.37</v>
      </c>
    </row>
    <row r="126" ht="15.75" customHeight="1">
      <c r="A126" s="2" t="s">
        <v>53</v>
      </c>
      <c r="B126" s="2" t="s">
        <v>18</v>
      </c>
      <c r="C126" s="2" t="s">
        <v>24</v>
      </c>
      <c r="D126" s="2">
        <v>914544.17</v>
      </c>
      <c r="E126" s="2">
        <v>820285.03</v>
      </c>
      <c r="F126" s="2">
        <v>94259.14</v>
      </c>
    </row>
    <row r="127" ht="15.75" customHeight="1">
      <c r="A127" s="2" t="s">
        <v>53</v>
      </c>
      <c r="B127" s="2" t="s">
        <v>18</v>
      </c>
      <c r="C127" s="2" t="s">
        <v>24</v>
      </c>
      <c r="D127" s="2">
        <v>842439.67</v>
      </c>
      <c r="E127" s="2">
        <v>857334.65</v>
      </c>
      <c r="F127" s="2">
        <v>-14894.98</v>
      </c>
    </row>
    <row r="128" ht="15.75" customHeight="1">
      <c r="A128" s="2" t="s">
        <v>53</v>
      </c>
      <c r="B128" s="2" t="s">
        <v>18</v>
      </c>
      <c r="C128" s="2" t="s">
        <v>24</v>
      </c>
      <c r="D128" s="2">
        <v>842157.92</v>
      </c>
      <c r="E128" s="2">
        <v>777783.13</v>
      </c>
      <c r="F128" s="2">
        <v>64374.79</v>
      </c>
    </row>
    <row r="129" ht="15.75" customHeight="1">
      <c r="A129" s="2" t="s">
        <v>53</v>
      </c>
      <c r="B129" s="2" t="s">
        <v>18</v>
      </c>
      <c r="C129" s="2" t="s">
        <v>24</v>
      </c>
      <c r="D129" s="2">
        <v>697155.3</v>
      </c>
      <c r="E129" s="2">
        <v>693488.3</v>
      </c>
      <c r="F129" s="2">
        <v>3667.0</v>
      </c>
    </row>
    <row r="130" ht="15.75" customHeight="1">
      <c r="A130" s="2" t="s">
        <v>54</v>
      </c>
      <c r="B130" s="2" t="s">
        <v>18</v>
      </c>
      <c r="C130" s="2" t="s">
        <v>15</v>
      </c>
      <c r="D130" s="2">
        <v>849018.3</v>
      </c>
      <c r="E130" s="2">
        <v>838077.74</v>
      </c>
      <c r="F130" s="2">
        <v>10940.56</v>
      </c>
    </row>
    <row r="131" ht="15.75" customHeight="1">
      <c r="A131" s="2" t="s">
        <v>54</v>
      </c>
      <c r="B131" s="2" t="s">
        <v>18</v>
      </c>
      <c r="C131" s="2" t="s">
        <v>15</v>
      </c>
      <c r="D131" s="2">
        <v>801830.35</v>
      </c>
      <c r="E131" s="2">
        <v>812669.53</v>
      </c>
      <c r="F131" s="2">
        <v>-10839.18</v>
      </c>
    </row>
    <row r="132" ht="15.75" customHeight="1">
      <c r="A132" s="2" t="s">
        <v>54</v>
      </c>
      <c r="B132" s="2" t="s">
        <v>18</v>
      </c>
      <c r="C132" s="2" t="s">
        <v>15</v>
      </c>
      <c r="D132" s="2">
        <v>725235.28</v>
      </c>
      <c r="E132" s="2">
        <v>787087.56</v>
      </c>
      <c r="F132" s="2">
        <v>-61852.28</v>
      </c>
    </row>
    <row r="133" ht="15.75" customHeight="1">
      <c r="A133" s="2" t="s">
        <v>54</v>
      </c>
      <c r="B133" s="2" t="s">
        <v>18</v>
      </c>
      <c r="C133" s="2" t="s">
        <v>15</v>
      </c>
      <c r="D133" s="2">
        <v>811452.72</v>
      </c>
      <c r="E133" s="2">
        <v>829123.2</v>
      </c>
      <c r="F133" s="2">
        <v>-17670.48</v>
      </c>
    </row>
    <row r="134" ht="15.75" customHeight="1">
      <c r="A134" s="2" t="s">
        <v>55</v>
      </c>
      <c r="B134" s="2" t="s">
        <v>18</v>
      </c>
      <c r="C134" s="2" t="s">
        <v>20</v>
      </c>
      <c r="D134" s="2">
        <v>527300.13</v>
      </c>
      <c r="E134" s="2">
        <v>574825.48</v>
      </c>
      <c r="F134" s="2">
        <v>-47525.35</v>
      </c>
    </row>
    <row r="135" ht="15.75" customHeight="1">
      <c r="A135" s="2" t="s">
        <v>55</v>
      </c>
      <c r="B135" s="2" t="s">
        <v>18</v>
      </c>
      <c r="C135" s="2" t="s">
        <v>20</v>
      </c>
      <c r="D135" s="2">
        <v>400831.65</v>
      </c>
      <c r="E135" s="2">
        <v>459495.08</v>
      </c>
      <c r="F135" s="2">
        <v>-58663.43</v>
      </c>
    </row>
    <row r="136" ht="15.75" customHeight="1">
      <c r="A136" s="2" t="s">
        <v>55</v>
      </c>
      <c r="B136" s="2" t="s">
        <v>18</v>
      </c>
      <c r="C136" s="2" t="s">
        <v>20</v>
      </c>
      <c r="D136" s="2">
        <v>593247.25</v>
      </c>
      <c r="E136" s="2">
        <v>599694.64</v>
      </c>
      <c r="F136" s="2">
        <v>-6447.39</v>
      </c>
    </row>
    <row r="137" ht="15.75" customHeight="1">
      <c r="A137" s="2" t="s">
        <v>55</v>
      </c>
      <c r="B137" s="2" t="s">
        <v>18</v>
      </c>
      <c r="C137" s="2" t="s">
        <v>20</v>
      </c>
      <c r="D137" s="2">
        <v>529075.95</v>
      </c>
      <c r="E137" s="2">
        <v>546926.53</v>
      </c>
      <c r="F137" s="2">
        <v>-17850.58</v>
      </c>
    </row>
    <row r="138" ht="15.75" customHeight="1">
      <c r="A138" s="2" t="s">
        <v>56</v>
      </c>
      <c r="B138" s="2" t="s">
        <v>16</v>
      </c>
      <c r="C138" s="2" t="s">
        <v>24</v>
      </c>
      <c r="D138" s="2">
        <v>633638.03</v>
      </c>
      <c r="E138" s="2">
        <v>697326.51</v>
      </c>
      <c r="F138" s="2">
        <v>-63688.48</v>
      </c>
    </row>
    <row r="139" ht="15.75" customHeight="1">
      <c r="A139" s="2" t="s">
        <v>56</v>
      </c>
      <c r="B139" s="2" t="s">
        <v>16</v>
      </c>
      <c r="C139" s="2" t="s">
        <v>24</v>
      </c>
      <c r="D139" s="2">
        <v>743348.84</v>
      </c>
      <c r="E139" s="2">
        <v>697390.95</v>
      </c>
      <c r="F139" s="2">
        <v>45957.89</v>
      </c>
    </row>
    <row r="140" ht="15.75" customHeight="1">
      <c r="A140" s="2" t="s">
        <v>56</v>
      </c>
      <c r="B140" s="2" t="s">
        <v>16</v>
      </c>
      <c r="C140" s="2" t="s">
        <v>24</v>
      </c>
      <c r="D140" s="2">
        <v>758827.64</v>
      </c>
      <c r="E140" s="2">
        <v>688874.14</v>
      </c>
      <c r="F140" s="2">
        <v>69953.5</v>
      </c>
    </row>
    <row r="141" ht="15.75" customHeight="1">
      <c r="A141" s="2" t="s">
        <v>56</v>
      </c>
      <c r="B141" s="2" t="s">
        <v>16</v>
      </c>
      <c r="C141" s="2" t="s">
        <v>24</v>
      </c>
      <c r="D141" s="2">
        <v>646559.71</v>
      </c>
      <c r="E141" s="2">
        <v>611483.57</v>
      </c>
      <c r="F141" s="2">
        <v>35076.14</v>
      </c>
    </row>
    <row r="142" ht="15.75" customHeight="1">
      <c r="A142" s="2" t="s">
        <v>57</v>
      </c>
      <c r="B142" s="2" t="s">
        <v>18</v>
      </c>
      <c r="C142" s="2" t="s">
        <v>27</v>
      </c>
      <c r="D142" s="2">
        <v>715890.53</v>
      </c>
      <c r="E142" s="2">
        <v>666828.44</v>
      </c>
      <c r="F142" s="2">
        <v>49062.09</v>
      </c>
    </row>
    <row r="143" ht="15.75" customHeight="1">
      <c r="A143" s="2" t="s">
        <v>57</v>
      </c>
      <c r="B143" s="2" t="s">
        <v>18</v>
      </c>
      <c r="C143" s="2" t="s">
        <v>27</v>
      </c>
      <c r="D143" s="2">
        <v>715097.57</v>
      </c>
      <c r="E143" s="2">
        <v>687567.86</v>
      </c>
      <c r="F143" s="2">
        <v>27529.71</v>
      </c>
    </row>
    <row r="144" ht="15.75" customHeight="1">
      <c r="A144" s="2" t="s">
        <v>57</v>
      </c>
      <c r="B144" s="2" t="s">
        <v>18</v>
      </c>
      <c r="C144" s="2" t="s">
        <v>27</v>
      </c>
      <c r="D144" s="2">
        <v>682639.28</v>
      </c>
      <c r="E144" s="2">
        <v>645211.56</v>
      </c>
      <c r="F144" s="2">
        <v>37427.72</v>
      </c>
    </row>
    <row r="145" ht="15.75" customHeight="1">
      <c r="A145" s="2" t="s">
        <v>57</v>
      </c>
      <c r="B145" s="2" t="s">
        <v>18</v>
      </c>
      <c r="C145" s="2" t="s">
        <v>27</v>
      </c>
      <c r="D145" s="2">
        <v>695098.51</v>
      </c>
      <c r="E145" s="2">
        <v>684914.66</v>
      </c>
      <c r="F145" s="2">
        <v>10183.85</v>
      </c>
    </row>
    <row r="146" ht="15.75" customHeight="1">
      <c r="A146" s="2" t="s">
        <v>58</v>
      </c>
      <c r="B146" s="2" t="s">
        <v>16</v>
      </c>
      <c r="C146" s="2" t="s">
        <v>20</v>
      </c>
      <c r="D146" s="2">
        <v>577732.57</v>
      </c>
      <c r="E146" s="2">
        <v>609281.37</v>
      </c>
      <c r="F146" s="2">
        <v>-31548.8</v>
      </c>
    </row>
    <row r="147" ht="15.75" customHeight="1">
      <c r="A147" s="2" t="s">
        <v>58</v>
      </c>
      <c r="B147" s="2" t="s">
        <v>16</v>
      </c>
      <c r="C147" s="2" t="s">
        <v>20</v>
      </c>
      <c r="D147" s="2">
        <v>537058.33</v>
      </c>
      <c r="E147" s="2">
        <v>566431.83</v>
      </c>
      <c r="F147" s="2">
        <v>-29373.5</v>
      </c>
    </row>
    <row r="148" ht="15.75" customHeight="1">
      <c r="A148" s="2" t="s">
        <v>58</v>
      </c>
      <c r="B148" s="2" t="s">
        <v>16</v>
      </c>
      <c r="C148" s="2" t="s">
        <v>20</v>
      </c>
      <c r="D148" s="2">
        <v>601568.87</v>
      </c>
      <c r="E148" s="2">
        <v>606583.39</v>
      </c>
      <c r="F148" s="2">
        <v>-5014.52</v>
      </c>
    </row>
    <row r="149" ht="15.75" customHeight="1">
      <c r="A149" s="2" t="s">
        <v>58</v>
      </c>
      <c r="B149" s="2" t="s">
        <v>16</v>
      </c>
      <c r="C149" s="2" t="s">
        <v>20</v>
      </c>
      <c r="D149" s="2">
        <v>570964.84</v>
      </c>
      <c r="E149" s="2">
        <v>567139.55</v>
      </c>
      <c r="F149" s="2">
        <v>3825.29</v>
      </c>
    </row>
    <row r="150" ht="15.75" customHeight="1">
      <c r="A150" s="2" t="s">
        <v>59</v>
      </c>
      <c r="B150" s="2" t="s">
        <v>28</v>
      </c>
      <c r="C150" s="2" t="s">
        <v>24</v>
      </c>
      <c r="D150" s="2">
        <v>614024.91</v>
      </c>
      <c r="E150" s="2">
        <v>652383.92</v>
      </c>
      <c r="F150" s="2">
        <v>-38359.01</v>
      </c>
    </row>
    <row r="151" ht="15.75" customHeight="1">
      <c r="A151" s="2" t="s">
        <v>59</v>
      </c>
      <c r="B151" s="2" t="s">
        <v>28</v>
      </c>
      <c r="C151" s="2" t="s">
        <v>24</v>
      </c>
      <c r="D151" s="2">
        <v>712868.35</v>
      </c>
      <c r="E151" s="2">
        <v>701400.46</v>
      </c>
      <c r="F151" s="2">
        <v>11467.89</v>
      </c>
    </row>
    <row r="152" ht="15.75" customHeight="1">
      <c r="A152" s="2" t="s">
        <v>59</v>
      </c>
      <c r="B152" s="2" t="s">
        <v>28</v>
      </c>
      <c r="C152" s="2" t="s">
        <v>24</v>
      </c>
      <c r="D152" s="2">
        <v>696744.15</v>
      </c>
      <c r="E152" s="2">
        <v>661779.31</v>
      </c>
      <c r="F152" s="2">
        <v>34964.84</v>
      </c>
    </row>
    <row r="153" ht="15.75" customHeight="1">
      <c r="A153" s="2" t="s">
        <v>59</v>
      </c>
      <c r="B153" s="2" t="s">
        <v>28</v>
      </c>
      <c r="C153" s="2" t="s">
        <v>24</v>
      </c>
      <c r="D153" s="2">
        <v>725847.99</v>
      </c>
      <c r="E153" s="2">
        <v>706753.87</v>
      </c>
      <c r="F153" s="2">
        <v>19094.12</v>
      </c>
    </row>
    <row r="154" ht="15.75" customHeight="1">
      <c r="A154" s="2" t="s">
        <v>60</v>
      </c>
      <c r="B154" s="2" t="s">
        <v>18</v>
      </c>
      <c r="C154" s="2" t="s">
        <v>15</v>
      </c>
      <c r="D154" s="2">
        <v>785028.25</v>
      </c>
      <c r="E154" s="2">
        <v>803070.94</v>
      </c>
      <c r="F154" s="2">
        <v>-18042.69</v>
      </c>
    </row>
    <row r="155" ht="15.75" customHeight="1">
      <c r="A155" s="2" t="s">
        <v>60</v>
      </c>
      <c r="B155" s="2" t="s">
        <v>18</v>
      </c>
      <c r="C155" s="2" t="s">
        <v>15</v>
      </c>
      <c r="D155" s="2">
        <v>698492.67</v>
      </c>
      <c r="E155" s="2">
        <v>695901.21</v>
      </c>
      <c r="F155" s="2">
        <v>2591.46</v>
      </c>
    </row>
    <row r="156" ht="15.75" customHeight="1">
      <c r="A156" s="2" t="s">
        <v>60</v>
      </c>
      <c r="B156" s="2" t="s">
        <v>18</v>
      </c>
      <c r="C156" s="2" t="s">
        <v>15</v>
      </c>
      <c r="D156" s="2">
        <v>685830.24</v>
      </c>
      <c r="E156" s="2">
        <v>727147.67</v>
      </c>
      <c r="F156" s="2">
        <v>-41317.43</v>
      </c>
    </row>
    <row r="157" ht="15.75" customHeight="1">
      <c r="A157" s="2" t="s">
        <v>60</v>
      </c>
      <c r="B157" s="2" t="s">
        <v>18</v>
      </c>
      <c r="C157" s="2" t="s">
        <v>15</v>
      </c>
      <c r="D157" s="2">
        <v>702318.94</v>
      </c>
      <c r="E157" s="2">
        <v>710528.95</v>
      </c>
      <c r="F157" s="2">
        <v>-8210.01</v>
      </c>
    </row>
    <row r="158" ht="15.75" customHeight="1">
      <c r="A158" s="2" t="s">
        <v>61</v>
      </c>
      <c r="B158" s="2" t="s">
        <v>28</v>
      </c>
      <c r="C158" s="2" t="s">
        <v>20</v>
      </c>
      <c r="D158" s="2">
        <v>700078.32</v>
      </c>
      <c r="E158" s="2">
        <v>721406.96</v>
      </c>
      <c r="F158" s="2">
        <v>-21328.64</v>
      </c>
    </row>
    <row r="159" ht="15.75" customHeight="1">
      <c r="A159" s="2" t="s">
        <v>61</v>
      </c>
      <c r="B159" s="2" t="s">
        <v>28</v>
      </c>
      <c r="C159" s="2" t="s">
        <v>20</v>
      </c>
      <c r="D159" s="2">
        <v>602002.32</v>
      </c>
      <c r="E159" s="2">
        <v>638180.38</v>
      </c>
      <c r="F159" s="2">
        <v>-36178.06</v>
      </c>
    </row>
    <row r="160" ht="15.75" customHeight="1">
      <c r="A160" s="2" t="s">
        <v>61</v>
      </c>
      <c r="B160" s="2" t="s">
        <v>28</v>
      </c>
      <c r="C160" s="2" t="s">
        <v>20</v>
      </c>
      <c r="D160" s="2">
        <v>724216.07</v>
      </c>
      <c r="E160" s="2">
        <v>666937.19</v>
      </c>
      <c r="F160" s="2">
        <v>57278.88</v>
      </c>
    </row>
    <row r="161" ht="15.75" customHeight="1">
      <c r="A161" s="2" t="s">
        <v>61</v>
      </c>
      <c r="B161" s="2" t="s">
        <v>28</v>
      </c>
      <c r="C161" s="2" t="s">
        <v>20</v>
      </c>
      <c r="D161" s="2">
        <v>620973.03</v>
      </c>
      <c r="E161" s="2">
        <v>578574.3</v>
      </c>
      <c r="F161" s="2">
        <v>42398.73</v>
      </c>
    </row>
    <row r="162" ht="15.75" customHeight="1">
      <c r="A162" s="2" t="s">
        <v>62</v>
      </c>
      <c r="B162" s="2" t="s">
        <v>18</v>
      </c>
      <c r="C162" s="2" t="s">
        <v>24</v>
      </c>
      <c r="D162" s="2">
        <v>650480.06</v>
      </c>
      <c r="E162" s="2">
        <v>694273.32</v>
      </c>
      <c r="F162" s="2">
        <v>-43793.26</v>
      </c>
    </row>
    <row r="163" ht="15.75" customHeight="1">
      <c r="A163" s="2" t="s">
        <v>62</v>
      </c>
      <c r="B163" s="2" t="s">
        <v>18</v>
      </c>
      <c r="C163" s="2" t="s">
        <v>24</v>
      </c>
      <c r="D163" s="2">
        <v>778298.88</v>
      </c>
      <c r="E163" s="2">
        <v>702340.49</v>
      </c>
      <c r="F163" s="2">
        <v>75958.39</v>
      </c>
    </row>
    <row r="164" ht="15.75" customHeight="1">
      <c r="A164" s="2" t="s">
        <v>62</v>
      </c>
      <c r="B164" s="2" t="s">
        <v>18</v>
      </c>
      <c r="C164" s="2" t="s">
        <v>24</v>
      </c>
      <c r="D164" s="2">
        <v>677096.71</v>
      </c>
      <c r="E164" s="2">
        <v>677783.82</v>
      </c>
      <c r="F164" s="2">
        <v>-687.11</v>
      </c>
    </row>
    <row r="165" ht="15.75" customHeight="1">
      <c r="A165" s="2" t="s">
        <v>62</v>
      </c>
      <c r="B165" s="2" t="s">
        <v>18</v>
      </c>
      <c r="C165" s="2" t="s">
        <v>24</v>
      </c>
      <c r="D165" s="2">
        <v>692008.64</v>
      </c>
      <c r="E165" s="2">
        <v>702694.06</v>
      </c>
      <c r="F165" s="2">
        <v>-10685.42</v>
      </c>
    </row>
    <row r="166" ht="15.75" customHeight="1">
      <c r="A166" s="2" t="s">
        <v>63</v>
      </c>
      <c r="B166" s="2" t="s">
        <v>28</v>
      </c>
      <c r="C166" s="2" t="s">
        <v>20</v>
      </c>
      <c r="D166" s="2">
        <v>825797.91</v>
      </c>
      <c r="E166" s="2">
        <v>788961.97</v>
      </c>
      <c r="F166" s="2">
        <v>36835.94</v>
      </c>
    </row>
    <row r="167" ht="15.75" customHeight="1">
      <c r="A167" s="2" t="s">
        <v>63</v>
      </c>
      <c r="B167" s="2" t="s">
        <v>28</v>
      </c>
      <c r="C167" s="2" t="s">
        <v>20</v>
      </c>
      <c r="D167" s="2">
        <v>706285.52</v>
      </c>
      <c r="E167" s="2">
        <v>740588.26</v>
      </c>
      <c r="F167" s="2">
        <v>-34302.74</v>
      </c>
    </row>
    <row r="168" ht="15.75" customHeight="1">
      <c r="A168" s="2" t="s">
        <v>63</v>
      </c>
      <c r="B168" s="2" t="s">
        <v>28</v>
      </c>
      <c r="C168" s="2" t="s">
        <v>20</v>
      </c>
      <c r="D168" s="2">
        <v>665534.7</v>
      </c>
      <c r="E168" s="2">
        <v>678432.92</v>
      </c>
      <c r="F168" s="2">
        <v>-12898.22</v>
      </c>
    </row>
    <row r="169" ht="15.75" customHeight="1">
      <c r="A169" s="2" t="s">
        <v>63</v>
      </c>
      <c r="B169" s="2" t="s">
        <v>28</v>
      </c>
      <c r="C169" s="2" t="s">
        <v>20</v>
      </c>
      <c r="D169" s="2">
        <v>820729.29</v>
      </c>
      <c r="E169" s="2">
        <v>821818.17</v>
      </c>
      <c r="F169" s="2">
        <v>-1088.88</v>
      </c>
    </row>
    <row r="170" ht="15.75" customHeight="1">
      <c r="A170" s="2" t="s">
        <v>64</v>
      </c>
      <c r="B170" s="2" t="s">
        <v>16</v>
      </c>
      <c r="C170" s="2" t="s">
        <v>15</v>
      </c>
      <c r="D170" s="2">
        <v>739831.73</v>
      </c>
      <c r="E170" s="2">
        <v>770649.94</v>
      </c>
      <c r="F170" s="2">
        <v>-30818.21</v>
      </c>
    </row>
    <row r="171" ht="15.75" customHeight="1">
      <c r="A171" s="2" t="s">
        <v>64</v>
      </c>
      <c r="B171" s="2" t="s">
        <v>16</v>
      </c>
      <c r="C171" s="2" t="s">
        <v>15</v>
      </c>
      <c r="D171" s="2">
        <v>593637.14</v>
      </c>
      <c r="E171" s="2">
        <v>648972.14</v>
      </c>
      <c r="F171" s="2">
        <v>-55335.0</v>
      </c>
    </row>
    <row r="172" ht="15.75" customHeight="1">
      <c r="A172" s="2" t="s">
        <v>64</v>
      </c>
      <c r="B172" s="2" t="s">
        <v>16</v>
      </c>
      <c r="C172" s="2" t="s">
        <v>15</v>
      </c>
      <c r="D172" s="2">
        <v>769702.76</v>
      </c>
      <c r="E172" s="2">
        <v>727303.54</v>
      </c>
      <c r="F172" s="2">
        <v>42399.22</v>
      </c>
    </row>
    <row r="173" ht="15.75" customHeight="1">
      <c r="A173" s="2" t="s">
        <v>64</v>
      </c>
      <c r="B173" s="2" t="s">
        <v>16</v>
      </c>
      <c r="C173" s="2" t="s">
        <v>15</v>
      </c>
      <c r="D173" s="2">
        <v>679731.57</v>
      </c>
      <c r="E173" s="2">
        <v>681686.23</v>
      </c>
      <c r="F173" s="2">
        <v>-1954.66</v>
      </c>
    </row>
    <row r="174" ht="15.75" customHeight="1">
      <c r="A174" s="2" t="s">
        <v>65</v>
      </c>
      <c r="B174" s="2" t="s">
        <v>16</v>
      </c>
      <c r="C174" s="2" t="s">
        <v>15</v>
      </c>
      <c r="D174" s="2">
        <v>780344.18</v>
      </c>
      <c r="E174" s="2">
        <v>765474.63</v>
      </c>
      <c r="F174" s="2">
        <v>14869.55</v>
      </c>
    </row>
    <row r="175" ht="15.75" customHeight="1">
      <c r="A175" s="2" t="s">
        <v>65</v>
      </c>
      <c r="B175" s="2" t="s">
        <v>16</v>
      </c>
      <c r="C175" s="2" t="s">
        <v>15</v>
      </c>
      <c r="D175" s="2">
        <v>721364.11</v>
      </c>
      <c r="E175" s="2">
        <v>750292.39</v>
      </c>
      <c r="F175" s="2">
        <v>-28928.28</v>
      </c>
    </row>
    <row r="176" ht="15.75" customHeight="1">
      <c r="A176" s="2" t="s">
        <v>65</v>
      </c>
      <c r="B176" s="2" t="s">
        <v>16</v>
      </c>
      <c r="C176" s="2" t="s">
        <v>15</v>
      </c>
      <c r="D176" s="2">
        <v>758138.29</v>
      </c>
      <c r="E176" s="2">
        <v>767584.36</v>
      </c>
      <c r="F176" s="2">
        <v>-9446.07</v>
      </c>
    </row>
    <row r="177" ht="15.75" customHeight="1">
      <c r="A177" s="2" t="s">
        <v>65</v>
      </c>
      <c r="B177" s="2" t="s">
        <v>16</v>
      </c>
      <c r="C177" s="2" t="s">
        <v>15</v>
      </c>
      <c r="D177" s="2">
        <v>804264.0</v>
      </c>
      <c r="E177" s="2">
        <v>817356.45</v>
      </c>
      <c r="F177" s="2">
        <v>-13092.45</v>
      </c>
    </row>
    <row r="178" ht="15.75" customHeight="1">
      <c r="A178" s="2" t="s">
        <v>66</v>
      </c>
      <c r="B178" s="2" t="s">
        <v>21</v>
      </c>
      <c r="C178" s="2" t="s">
        <v>27</v>
      </c>
      <c r="D178" s="2">
        <v>887537.75</v>
      </c>
      <c r="E178" s="2">
        <v>868195.31</v>
      </c>
      <c r="F178" s="2">
        <v>19342.44</v>
      </c>
    </row>
    <row r="179" ht="15.75" customHeight="1">
      <c r="A179" s="2" t="s">
        <v>66</v>
      </c>
      <c r="B179" s="2" t="s">
        <v>21</v>
      </c>
      <c r="C179" s="2" t="s">
        <v>27</v>
      </c>
      <c r="D179" s="2">
        <v>783582.0</v>
      </c>
      <c r="E179" s="2">
        <v>731927.63</v>
      </c>
      <c r="F179" s="2">
        <v>51654.37</v>
      </c>
    </row>
    <row r="180" ht="15.75" customHeight="1">
      <c r="A180" s="2" t="s">
        <v>66</v>
      </c>
      <c r="B180" s="2" t="s">
        <v>21</v>
      </c>
      <c r="C180" s="2" t="s">
        <v>27</v>
      </c>
      <c r="D180" s="2">
        <v>781955.52</v>
      </c>
      <c r="E180" s="2">
        <v>758906.15</v>
      </c>
      <c r="F180" s="2">
        <v>23049.37</v>
      </c>
    </row>
    <row r="181" ht="15.75" customHeight="1">
      <c r="A181" s="2" t="s">
        <v>66</v>
      </c>
      <c r="B181" s="2" t="s">
        <v>21</v>
      </c>
      <c r="C181" s="2" t="s">
        <v>27</v>
      </c>
      <c r="D181" s="2">
        <v>898031.04</v>
      </c>
      <c r="E181" s="2">
        <v>838177.98</v>
      </c>
      <c r="F181" s="2">
        <v>59853.06</v>
      </c>
    </row>
    <row r="182" ht="15.75" customHeight="1">
      <c r="A182" s="2" t="s">
        <v>67</v>
      </c>
      <c r="B182" s="2" t="s">
        <v>16</v>
      </c>
      <c r="C182" s="2" t="s">
        <v>27</v>
      </c>
      <c r="D182" s="2">
        <v>855341.28</v>
      </c>
      <c r="E182" s="2">
        <v>834139.96</v>
      </c>
      <c r="F182" s="2">
        <v>21201.32</v>
      </c>
    </row>
    <row r="183" ht="15.75" customHeight="1">
      <c r="A183" s="2" t="s">
        <v>67</v>
      </c>
      <c r="B183" s="2" t="s">
        <v>16</v>
      </c>
      <c r="C183" s="2" t="s">
        <v>27</v>
      </c>
      <c r="D183" s="2">
        <v>751393.88</v>
      </c>
      <c r="E183" s="2">
        <v>738463.59</v>
      </c>
      <c r="F183" s="2">
        <v>12930.29</v>
      </c>
    </row>
    <row r="184" ht="15.75" customHeight="1">
      <c r="A184" s="2" t="s">
        <v>67</v>
      </c>
      <c r="B184" s="2" t="s">
        <v>16</v>
      </c>
      <c r="C184" s="2" t="s">
        <v>27</v>
      </c>
      <c r="D184" s="2">
        <v>761077.08</v>
      </c>
      <c r="E184" s="2">
        <v>749865.22</v>
      </c>
      <c r="F184" s="2">
        <v>11211.86</v>
      </c>
    </row>
    <row r="185" ht="15.75" customHeight="1">
      <c r="A185" s="2" t="s">
        <v>67</v>
      </c>
      <c r="B185" s="2" t="s">
        <v>16</v>
      </c>
      <c r="C185" s="2" t="s">
        <v>27</v>
      </c>
      <c r="D185" s="2">
        <v>819660.59</v>
      </c>
      <c r="E185" s="2">
        <v>814736.43</v>
      </c>
      <c r="F185" s="2">
        <v>4924.16</v>
      </c>
    </row>
    <row r="186" ht="15.75" customHeight="1">
      <c r="A186" s="2" t="s">
        <v>68</v>
      </c>
      <c r="B186" s="2" t="s">
        <v>18</v>
      </c>
      <c r="C186" s="2" t="s">
        <v>20</v>
      </c>
      <c r="D186" s="2">
        <v>681855.56</v>
      </c>
      <c r="E186" s="2">
        <v>693301.94</v>
      </c>
      <c r="F186" s="2">
        <v>-11446.38</v>
      </c>
    </row>
    <row r="187" ht="15.75" customHeight="1">
      <c r="A187" s="2" t="s">
        <v>68</v>
      </c>
      <c r="B187" s="2" t="s">
        <v>18</v>
      </c>
      <c r="C187" s="2" t="s">
        <v>20</v>
      </c>
      <c r="D187" s="2">
        <v>678311.17</v>
      </c>
      <c r="E187" s="2">
        <v>662874.86</v>
      </c>
      <c r="F187" s="2">
        <v>15436.31</v>
      </c>
    </row>
    <row r="188" ht="15.75" customHeight="1">
      <c r="A188" s="2" t="s">
        <v>68</v>
      </c>
      <c r="B188" s="2" t="s">
        <v>18</v>
      </c>
      <c r="C188" s="2" t="s">
        <v>20</v>
      </c>
      <c r="D188" s="2">
        <v>765906.95</v>
      </c>
      <c r="E188" s="2">
        <v>697074.34</v>
      </c>
      <c r="F188" s="2">
        <v>68832.61</v>
      </c>
    </row>
    <row r="189" ht="15.75" customHeight="1">
      <c r="A189" s="2" t="s">
        <v>68</v>
      </c>
      <c r="B189" s="2" t="s">
        <v>18</v>
      </c>
      <c r="C189" s="2" t="s">
        <v>20</v>
      </c>
      <c r="D189" s="2">
        <v>712546.38</v>
      </c>
      <c r="E189" s="2">
        <v>707939.48</v>
      </c>
      <c r="F189" s="2">
        <v>4606.9</v>
      </c>
    </row>
    <row r="190" ht="15.75" customHeight="1">
      <c r="A190" s="2" t="s">
        <v>69</v>
      </c>
      <c r="B190" s="2" t="s">
        <v>18</v>
      </c>
      <c r="C190" s="2" t="s">
        <v>15</v>
      </c>
      <c r="D190" s="2">
        <v>625993.83</v>
      </c>
      <c r="E190" s="2">
        <v>590435.82</v>
      </c>
      <c r="F190" s="2">
        <v>35558.01</v>
      </c>
    </row>
    <row r="191" ht="15.75" customHeight="1">
      <c r="A191" s="2" t="s">
        <v>69</v>
      </c>
      <c r="B191" s="2" t="s">
        <v>18</v>
      </c>
      <c r="C191" s="2" t="s">
        <v>15</v>
      </c>
      <c r="D191" s="2">
        <v>550962.93</v>
      </c>
      <c r="E191" s="2">
        <v>550001.49</v>
      </c>
      <c r="F191" s="2">
        <v>961.44</v>
      </c>
    </row>
    <row r="192" ht="15.75" customHeight="1">
      <c r="A192" s="2" t="s">
        <v>69</v>
      </c>
      <c r="B192" s="2" t="s">
        <v>18</v>
      </c>
      <c r="C192" s="2" t="s">
        <v>15</v>
      </c>
      <c r="D192" s="2">
        <v>443275.59</v>
      </c>
      <c r="E192" s="2">
        <v>473805.23</v>
      </c>
      <c r="F192" s="2">
        <v>-30529.64</v>
      </c>
    </row>
    <row r="193" ht="15.75" customHeight="1">
      <c r="A193" s="2" t="s">
        <v>69</v>
      </c>
      <c r="B193" s="2" t="s">
        <v>18</v>
      </c>
      <c r="C193" s="2" t="s">
        <v>15</v>
      </c>
      <c r="D193" s="2">
        <v>554012.07</v>
      </c>
      <c r="E193" s="2">
        <v>609991.74</v>
      </c>
      <c r="F193" s="2">
        <v>-55979.67</v>
      </c>
    </row>
    <row r="194" ht="15.75" customHeight="1">
      <c r="A194" s="2" t="s">
        <v>70</v>
      </c>
      <c r="B194" s="2" t="s">
        <v>16</v>
      </c>
      <c r="C194" s="2" t="s">
        <v>27</v>
      </c>
      <c r="D194" s="2">
        <v>643428.85</v>
      </c>
      <c r="E194" s="2">
        <v>674549.05</v>
      </c>
      <c r="F194" s="2">
        <v>-31120.2</v>
      </c>
    </row>
    <row r="195" ht="15.75" customHeight="1">
      <c r="A195" s="2" t="s">
        <v>70</v>
      </c>
      <c r="B195" s="2" t="s">
        <v>16</v>
      </c>
      <c r="C195" s="2" t="s">
        <v>27</v>
      </c>
      <c r="D195" s="2">
        <v>611924.27</v>
      </c>
      <c r="E195" s="2">
        <v>605763.35</v>
      </c>
      <c r="F195" s="2">
        <v>6160.92</v>
      </c>
    </row>
    <row r="196" ht="15.75" customHeight="1">
      <c r="A196" s="2" t="s">
        <v>70</v>
      </c>
      <c r="B196" s="2" t="s">
        <v>16</v>
      </c>
      <c r="C196" s="2" t="s">
        <v>27</v>
      </c>
      <c r="D196" s="2">
        <v>559422.02</v>
      </c>
      <c r="E196" s="2">
        <v>552892.92</v>
      </c>
      <c r="F196" s="2">
        <v>6529.1</v>
      </c>
    </row>
    <row r="197" ht="15.75" customHeight="1">
      <c r="A197" s="2" t="s">
        <v>70</v>
      </c>
      <c r="B197" s="2" t="s">
        <v>16</v>
      </c>
      <c r="C197" s="2" t="s">
        <v>27</v>
      </c>
      <c r="D197" s="2">
        <v>449465.06</v>
      </c>
      <c r="E197" s="2">
        <v>513635.89</v>
      </c>
      <c r="F197" s="2">
        <v>-64170.83</v>
      </c>
    </row>
    <row r="198" ht="15.75" customHeight="1">
      <c r="A198" s="2" t="s">
        <v>71</v>
      </c>
      <c r="B198" s="2" t="s">
        <v>16</v>
      </c>
      <c r="C198" s="2" t="s">
        <v>20</v>
      </c>
      <c r="D198" s="2">
        <v>691447.43</v>
      </c>
      <c r="E198" s="2">
        <v>625414.4</v>
      </c>
      <c r="F198" s="2">
        <v>66033.03</v>
      </c>
    </row>
    <row r="199" ht="15.75" customHeight="1">
      <c r="A199" s="2" t="s">
        <v>71</v>
      </c>
      <c r="B199" s="2" t="s">
        <v>16</v>
      </c>
      <c r="C199" s="2" t="s">
        <v>20</v>
      </c>
      <c r="D199" s="2">
        <v>574066.61</v>
      </c>
      <c r="E199" s="2">
        <v>600826.92</v>
      </c>
      <c r="F199" s="2">
        <v>-26760.31</v>
      </c>
    </row>
    <row r="200" ht="15.75" customHeight="1">
      <c r="A200" s="2" t="s">
        <v>71</v>
      </c>
      <c r="B200" s="2" t="s">
        <v>16</v>
      </c>
      <c r="C200" s="2" t="s">
        <v>20</v>
      </c>
      <c r="D200" s="2">
        <v>578949.84</v>
      </c>
      <c r="E200" s="2">
        <v>600545.07</v>
      </c>
      <c r="F200" s="2">
        <v>-21595.23</v>
      </c>
    </row>
    <row r="201" ht="15.75" customHeight="1">
      <c r="A201" s="2" t="s">
        <v>71</v>
      </c>
      <c r="B201" s="2" t="s">
        <v>16</v>
      </c>
      <c r="C201" s="2" t="s">
        <v>20</v>
      </c>
      <c r="D201" s="2">
        <v>735786.64</v>
      </c>
      <c r="E201" s="2">
        <v>650457.59</v>
      </c>
      <c r="F201" s="2">
        <v>85329.05</v>
      </c>
    </row>
    <row r="202" ht="15.75" customHeight="1">
      <c r="A202" s="2" t="s">
        <v>72</v>
      </c>
      <c r="B202" s="2" t="s">
        <v>21</v>
      </c>
      <c r="C202" s="2" t="s">
        <v>15</v>
      </c>
      <c r="D202" s="2">
        <v>598904.9</v>
      </c>
      <c r="E202" s="2">
        <v>624823.23</v>
      </c>
      <c r="F202" s="2">
        <v>-25918.33</v>
      </c>
    </row>
    <row r="203" ht="15.75" customHeight="1">
      <c r="A203" s="2" t="s">
        <v>72</v>
      </c>
      <c r="B203" s="2" t="s">
        <v>21</v>
      </c>
      <c r="C203" s="2" t="s">
        <v>15</v>
      </c>
      <c r="D203" s="2">
        <v>787715.51</v>
      </c>
      <c r="E203" s="2">
        <v>701326.4</v>
      </c>
      <c r="F203" s="2">
        <v>86389.11</v>
      </c>
    </row>
    <row r="204" ht="15.75" customHeight="1">
      <c r="A204" s="2" t="s">
        <v>72</v>
      </c>
      <c r="B204" s="2" t="s">
        <v>21</v>
      </c>
      <c r="C204" s="2" t="s">
        <v>15</v>
      </c>
      <c r="D204" s="2">
        <v>607084.92</v>
      </c>
      <c r="E204" s="2">
        <v>659140.44</v>
      </c>
      <c r="F204" s="2">
        <v>-52055.52</v>
      </c>
    </row>
    <row r="205" ht="15.75" customHeight="1">
      <c r="A205" s="2" t="s">
        <v>72</v>
      </c>
      <c r="B205" s="2" t="s">
        <v>21</v>
      </c>
      <c r="C205" s="2" t="s">
        <v>15</v>
      </c>
      <c r="D205" s="2">
        <v>650795.49</v>
      </c>
      <c r="E205" s="2">
        <v>694369.33</v>
      </c>
      <c r="F205" s="2">
        <v>-43573.84</v>
      </c>
    </row>
    <row r="206" ht="15.75" customHeight="1">
      <c r="A206" s="2" t="s">
        <v>73</v>
      </c>
      <c r="B206" s="2" t="s">
        <v>28</v>
      </c>
      <c r="C206" s="2" t="s">
        <v>15</v>
      </c>
      <c r="D206" s="2">
        <v>825060.52</v>
      </c>
      <c r="E206" s="2">
        <v>857185.67</v>
      </c>
      <c r="F206" s="2">
        <v>-32125.15</v>
      </c>
    </row>
    <row r="207" ht="15.75" customHeight="1">
      <c r="A207" s="2" t="s">
        <v>73</v>
      </c>
      <c r="B207" s="2" t="s">
        <v>28</v>
      </c>
      <c r="C207" s="2" t="s">
        <v>15</v>
      </c>
      <c r="D207" s="2">
        <v>795464.47</v>
      </c>
      <c r="E207" s="2">
        <v>753113.57</v>
      </c>
      <c r="F207" s="2">
        <v>42350.9</v>
      </c>
    </row>
    <row r="208" ht="15.75" customHeight="1">
      <c r="A208" s="2" t="s">
        <v>73</v>
      </c>
      <c r="B208" s="2" t="s">
        <v>28</v>
      </c>
      <c r="C208" s="2" t="s">
        <v>15</v>
      </c>
      <c r="D208" s="2">
        <v>671868.59</v>
      </c>
      <c r="E208" s="2">
        <v>741102.98</v>
      </c>
      <c r="F208" s="2">
        <v>-69234.39</v>
      </c>
    </row>
    <row r="209" ht="15.75" customHeight="1">
      <c r="A209" s="2" t="s">
        <v>73</v>
      </c>
      <c r="B209" s="2" t="s">
        <v>28</v>
      </c>
      <c r="C209" s="2" t="s">
        <v>15</v>
      </c>
      <c r="D209" s="2">
        <v>675917.63</v>
      </c>
      <c r="E209" s="2">
        <v>763771.39</v>
      </c>
      <c r="F209" s="2">
        <v>-87853.76</v>
      </c>
    </row>
    <row r="210" ht="15.75" customHeight="1">
      <c r="A210" s="2" t="s">
        <v>74</v>
      </c>
      <c r="B210" s="2" t="s">
        <v>18</v>
      </c>
      <c r="C210" s="2" t="s">
        <v>15</v>
      </c>
      <c r="D210" s="2">
        <v>810446.53</v>
      </c>
      <c r="E210" s="2">
        <v>808622.76</v>
      </c>
      <c r="F210" s="2">
        <v>1823.77</v>
      </c>
    </row>
    <row r="211" ht="15.75" customHeight="1">
      <c r="A211" s="2" t="s">
        <v>74</v>
      </c>
      <c r="B211" s="2" t="s">
        <v>18</v>
      </c>
      <c r="C211" s="2" t="s">
        <v>15</v>
      </c>
      <c r="D211" s="2">
        <v>691288.19</v>
      </c>
      <c r="E211" s="2">
        <v>769036.84</v>
      </c>
      <c r="F211" s="2">
        <v>-77748.65</v>
      </c>
    </row>
    <row r="212" ht="15.75" customHeight="1">
      <c r="A212" s="2" t="s">
        <v>74</v>
      </c>
      <c r="B212" s="2" t="s">
        <v>18</v>
      </c>
      <c r="C212" s="2" t="s">
        <v>15</v>
      </c>
      <c r="D212" s="2">
        <v>946833.54</v>
      </c>
      <c r="E212" s="2">
        <v>972845.27</v>
      </c>
      <c r="F212" s="2">
        <v>-26011.73</v>
      </c>
    </row>
    <row r="213" ht="15.75" customHeight="1">
      <c r="A213" s="2" t="s">
        <v>74</v>
      </c>
      <c r="B213" s="2" t="s">
        <v>18</v>
      </c>
      <c r="C213" s="2" t="s">
        <v>15</v>
      </c>
      <c r="D213" s="2">
        <v>761963.23</v>
      </c>
      <c r="E213" s="2">
        <v>773582.38</v>
      </c>
      <c r="F213" s="2">
        <v>-11619.15</v>
      </c>
    </row>
    <row r="214" ht="15.75" customHeight="1">
      <c r="A214" s="2" t="s">
        <v>75</v>
      </c>
      <c r="B214" s="2" t="s">
        <v>16</v>
      </c>
      <c r="C214" s="2" t="s">
        <v>27</v>
      </c>
      <c r="D214" s="2">
        <v>812152.6</v>
      </c>
      <c r="E214" s="2">
        <v>769513.49</v>
      </c>
      <c r="F214" s="2">
        <v>42639.11</v>
      </c>
    </row>
    <row r="215" ht="15.75" customHeight="1">
      <c r="A215" s="2" t="s">
        <v>75</v>
      </c>
      <c r="B215" s="2" t="s">
        <v>16</v>
      </c>
      <c r="C215" s="2" t="s">
        <v>27</v>
      </c>
      <c r="D215" s="2">
        <v>804975.5</v>
      </c>
      <c r="E215" s="2">
        <v>752400.98</v>
      </c>
      <c r="F215" s="2">
        <v>52574.52</v>
      </c>
    </row>
    <row r="216" ht="15.75" customHeight="1">
      <c r="A216" s="2" t="s">
        <v>75</v>
      </c>
      <c r="B216" s="2" t="s">
        <v>16</v>
      </c>
      <c r="C216" s="2" t="s">
        <v>27</v>
      </c>
      <c r="D216" s="2">
        <v>752321.72</v>
      </c>
      <c r="E216" s="2">
        <v>742231.82</v>
      </c>
      <c r="F216" s="2">
        <v>10089.9</v>
      </c>
    </row>
    <row r="217" ht="15.75" customHeight="1">
      <c r="A217" s="2" t="s">
        <v>75</v>
      </c>
      <c r="B217" s="2" t="s">
        <v>16</v>
      </c>
      <c r="C217" s="2" t="s">
        <v>27</v>
      </c>
      <c r="D217" s="2">
        <v>836908.24</v>
      </c>
      <c r="E217" s="2">
        <v>811171.09</v>
      </c>
      <c r="F217" s="2">
        <v>25737.15</v>
      </c>
    </row>
    <row r="218" ht="15.75" customHeight="1">
      <c r="A218" s="2" t="s">
        <v>76</v>
      </c>
      <c r="B218" s="2" t="s">
        <v>21</v>
      </c>
      <c r="C218" s="2" t="s">
        <v>20</v>
      </c>
      <c r="D218" s="2">
        <v>674289.1</v>
      </c>
      <c r="E218" s="2">
        <v>656408.36</v>
      </c>
      <c r="F218" s="2">
        <v>17880.74</v>
      </c>
    </row>
    <row r="219" ht="15.75" customHeight="1">
      <c r="A219" s="2" t="s">
        <v>76</v>
      </c>
      <c r="B219" s="2" t="s">
        <v>21</v>
      </c>
      <c r="C219" s="2" t="s">
        <v>20</v>
      </c>
      <c r="D219" s="2">
        <v>622892.42</v>
      </c>
      <c r="E219" s="2">
        <v>653016.58</v>
      </c>
      <c r="F219" s="2">
        <v>-30124.16</v>
      </c>
    </row>
    <row r="220" ht="15.75" customHeight="1">
      <c r="A220" s="2" t="s">
        <v>76</v>
      </c>
      <c r="B220" s="2" t="s">
        <v>21</v>
      </c>
      <c r="C220" s="2" t="s">
        <v>20</v>
      </c>
      <c r="D220" s="2">
        <v>673348.56</v>
      </c>
      <c r="E220" s="2">
        <v>646946.15</v>
      </c>
      <c r="F220" s="2">
        <v>26402.41</v>
      </c>
    </row>
    <row r="221" ht="15.75" customHeight="1">
      <c r="A221" s="2" t="s">
        <v>76</v>
      </c>
      <c r="B221" s="2" t="s">
        <v>21</v>
      </c>
      <c r="C221" s="2" t="s">
        <v>20</v>
      </c>
      <c r="D221" s="2">
        <v>606278.3</v>
      </c>
      <c r="E221" s="2">
        <v>612048.22</v>
      </c>
      <c r="F221" s="2">
        <v>-5769.92</v>
      </c>
    </row>
    <row r="222" ht="15.75" customHeight="1">
      <c r="A222" s="2" t="s">
        <v>77</v>
      </c>
      <c r="B222" s="2" t="s">
        <v>18</v>
      </c>
      <c r="C222" s="2" t="s">
        <v>15</v>
      </c>
      <c r="D222" s="2">
        <v>712219.81</v>
      </c>
      <c r="E222" s="2">
        <v>710212.32</v>
      </c>
      <c r="F222" s="2">
        <v>2007.49</v>
      </c>
    </row>
    <row r="223" ht="15.75" customHeight="1">
      <c r="A223" s="2" t="s">
        <v>77</v>
      </c>
      <c r="B223" s="2" t="s">
        <v>18</v>
      </c>
      <c r="C223" s="2" t="s">
        <v>15</v>
      </c>
      <c r="D223" s="2">
        <v>672670.54</v>
      </c>
      <c r="E223" s="2">
        <v>681813.94</v>
      </c>
      <c r="F223" s="2">
        <v>-9143.4</v>
      </c>
    </row>
    <row r="224" ht="15.75" customHeight="1">
      <c r="A224" s="2" t="s">
        <v>77</v>
      </c>
      <c r="B224" s="2" t="s">
        <v>18</v>
      </c>
      <c r="C224" s="2" t="s">
        <v>15</v>
      </c>
      <c r="D224" s="2">
        <v>732667.92</v>
      </c>
      <c r="E224" s="2">
        <v>745081.34</v>
      </c>
      <c r="F224" s="2">
        <v>-12413.42</v>
      </c>
    </row>
    <row r="225" ht="15.75" customHeight="1">
      <c r="A225" s="2" t="s">
        <v>77</v>
      </c>
      <c r="B225" s="2" t="s">
        <v>18</v>
      </c>
      <c r="C225" s="2" t="s">
        <v>15</v>
      </c>
      <c r="D225" s="2">
        <v>723531.4</v>
      </c>
      <c r="E225" s="2">
        <v>765246.76</v>
      </c>
      <c r="F225" s="2">
        <v>-41715.36</v>
      </c>
    </row>
    <row r="226" ht="15.75" customHeight="1">
      <c r="A226" s="2" t="s">
        <v>78</v>
      </c>
      <c r="B226" s="2" t="s">
        <v>28</v>
      </c>
      <c r="C226" s="2" t="s">
        <v>15</v>
      </c>
      <c r="D226" s="2">
        <v>641564.6</v>
      </c>
      <c r="E226" s="2">
        <v>631573.95</v>
      </c>
      <c r="F226" s="2">
        <v>9990.65</v>
      </c>
    </row>
    <row r="227" ht="15.75" customHeight="1">
      <c r="A227" s="2" t="s">
        <v>78</v>
      </c>
      <c r="B227" s="2" t="s">
        <v>28</v>
      </c>
      <c r="C227" s="2" t="s">
        <v>15</v>
      </c>
      <c r="D227" s="2">
        <v>536545.49</v>
      </c>
      <c r="E227" s="2">
        <v>541858.12</v>
      </c>
      <c r="F227" s="2">
        <v>-5312.63</v>
      </c>
    </row>
    <row r="228" ht="15.75" customHeight="1">
      <c r="A228" s="2" t="s">
        <v>78</v>
      </c>
      <c r="B228" s="2" t="s">
        <v>28</v>
      </c>
      <c r="C228" s="2" t="s">
        <v>15</v>
      </c>
      <c r="D228" s="2">
        <v>527681.56</v>
      </c>
      <c r="E228" s="2">
        <v>571793.77</v>
      </c>
      <c r="F228" s="2">
        <v>-44112.21</v>
      </c>
    </row>
    <row r="229" ht="15.75" customHeight="1">
      <c r="A229" s="2" t="s">
        <v>78</v>
      </c>
      <c r="B229" s="2" t="s">
        <v>28</v>
      </c>
      <c r="C229" s="2" t="s">
        <v>15</v>
      </c>
      <c r="D229" s="2">
        <v>529598.94</v>
      </c>
      <c r="E229" s="2">
        <v>513477.44</v>
      </c>
      <c r="F229" s="2">
        <v>16121.5</v>
      </c>
    </row>
    <row r="230" ht="15.75" customHeight="1">
      <c r="A230" s="2" t="s">
        <v>79</v>
      </c>
      <c r="B230" s="2" t="s">
        <v>18</v>
      </c>
      <c r="C230" s="2" t="s">
        <v>15</v>
      </c>
      <c r="D230" s="2">
        <v>570963.31</v>
      </c>
      <c r="E230" s="2">
        <v>622562.92</v>
      </c>
      <c r="F230" s="2">
        <v>-51599.61</v>
      </c>
    </row>
    <row r="231" ht="15.75" customHeight="1">
      <c r="A231" s="2" t="s">
        <v>79</v>
      </c>
      <c r="B231" s="2" t="s">
        <v>18</v>
      </c>
      <c r="C231" s="2" t="s">
        <v>15</v>
      </c>
      <c r="D231" s="2">
        <v>870937.4</v>
      </c>
      <c r="E231" s="2">
        <v>830907.48</v>
      </c>
      <c r="F231" s="2">
        <v>40029.92</v>
      </c>
    </row>
    <row r="232" ht="15.75" customHeight="1">
      <c r="A232" s="2" t="s">
        <v>79</v>
      </c>
      <c r="B232" s="2" t="s">
        <v>18</v>
      </c>
      <c r="C232" s="2" t="s">
        <v>15</v>
      </c>
      <c r="D232" s="2">
        <v>596969.27</v>
      </c>
      <c r="E232" s="2">
        <v>638014.48</v>
      </c>
      <c r="F232" s="2">
        <v>-41045.21</v>
      </c>
    </row>
    <row r="233" ht="15.75" customHeight="1">
      <c r="A233" s="2" t="s">
        <v>79</v>
      </c>
      <c r="B233" s="2" t="s">
        <v>18</v>
      </c>
      <c r="C233" s="2" t="s">
        <v>15</v>
      </c>
      <c r="D233" s="2">
        <v>647512.85</v>
      </c>
      <c r="E233" s="2">
        <v>621529.39</v>
      </c>
      <c r="F233" s="2">
        <v>25983.46</v>
      </c>
    </row>
    <row r="234" ht="15.75" customHeight="1">
      <c r="A234" s="2" t="s">
        <v>80</v>
      </c>
      <c r="B234" s="2" t="s">
        <v>16</v>
      </c>
      <c r="C234" s="2" t="s">
        <v>27</v>
      </c>
      <c r="D234" s="2">
        <v>658072.14</v>
      </c>
      <c r="E234" s="2">
        <v>599312.72</v>
      </c>
      <c r="F234" s="2">
        <v>58759.42</v>
      </c>
    </row>
    <row r="235" ht="15.75" customHeight="1">
      <c r="A235" s="2" t="s">
        <v>80</v>
      </c>
      <c r="B235" s="2" t="s">
        <v>16</v>
      </c>
      <c r="C235" s="2" t="s">
        <v>27</v>
      </c>
      <c r="D235" s="2">
        <v>723305.11</v>
      </c>
      <c r="E235" s="2">
        <v>638290.97</v>
      </c>
      <c r="F235" s="2">
        <v>85014.14</v>
      </c>
    </row>
    <row r="236" ht="15.75" customHeight="1">
      <c r="A236" s="2" t="s">
        <v>80</v>
      </c>
      <c r="B236" s="2" t="s">
        <v>16</v>
      </c>
      <c r="C236" s="2" t="s">
        <v>27</v>
      </c>
      <c r="D236" s="2">
        <v>640666.53</v>
      </c>
      <c r="E236" s="2">
        <v>616510.29</v>
      </c>
      <c r="F236" s="2">
        <v>24156.24</v>
      </c>
    </row>
    <row r="237" ht="15.75" customHeight="1">
      <c r="A237" s="2" t="s">
        <v>80</v>
      </c>
      <c r="B237" s="2" t="s">
        <v>16</v>
      </c>
      <c r="C237" s="2" t="s">
        <v>27</v>
      </c>
      <c r="D237" s="2">
        <v>670629.48</v>
      </c>
      <c r="E237" s="2">
        <v>656199.43</v>
      </c>
      <c r="F237" s="2">
        <v>14430.05</v>
      </c>
    </row>
    <row r="238" ht="15.75" customHeight="1">
      <c r="A238" s="2" t="s">
        <v>81</v>
      </c>
      <c r="B238" s="2" t="s">
        <v>28</v>
      </c>
      <c r="C238" s="2" t="s">
        <v>27</v>
      </c>
      <c r="D238" s="2">
        <v>721079.35</v>
      </c>
      <c r="E238" s="2">
        <v>796217.55</v>
      </c>
      <c r="F238" s="2">
        <v>-75138.2</v>
      </c>
    </row>
    <row r="239" ht="15.75" customHeight="1">
      <c r="A239" s="2" t="s">
        <v>81</v>
      </c>
      <c r="B239" s="2" t="s">
        <v>28</v>
      </c>
      <c r="C239" s="2" t="s">
        <v>27</v>
      </c>
      <c r="D239" s="2">
        <v>810355.02</v>
      </c>
      <c r="E239" s="2">
        <v>828604.53</v>
      </c>
      <c r="F239" s="2">
        <v>-18249.51</v>
      </c>
    </row>
    <row r="240" ht="15.75" customHeight="1">
      <c r="A240" s="2" t="s">
        <v>81</v>
      </c>
      <c r="B240" s="2" t="s">
        <v>28</v>
      </c>
      <c r="C240" s="2" t="s">
        <v>27</v>
      </c>
      <c r="D240" s="2">
        <v>761919.25</v>
      </c>
      <c r="E240" s="2">
        <v>781148.21</v>
      </c>
      <c r="F240" s="2">
        <v>-19228.96</v>
      </c>
    </row>
    <row r="241" ht="15.75" customHeight="1">
      <c r="A241" s="2" t="s">
        <v>81</v>
      </c>
      <c r="B241" s="2" t="s">
        <v>28</v>
      </c>
      <c r="C241" s="2" t="s">
        <v>27</v>
      </c>
      <c r="D241" s="2">
        <v>737070.18</v>
      </c>
      <c r="E241" s="2">
        <v>735179.18</v>
      </c>
      <c r="F241" s="2">
        <v>1891.0</v>
      </c>
    </row>
    <row r="242" ht="15.75" customHeight="1">
      <c r="A242" s="2" t="s">
        <v>82</v>
      </c>
      <c r="B242" s="2" t="s">
        <v>21</v>
      </c>
      <c r="C242" s="2" t="s">
        <v>24</v>
      </c>
      <c r="D242" s="2">
        <v>776992.93</v>
      </c>
      <c r="E242" s="2">
        <v>768993.66</v>
      </c>
      <c r="F242" s="2">
        <v>7999.27</v>
      </c>
    </row>
    <row r="243" ht="15.75" customHeight="1">
      <c r="A243" s="2" t="s">
        <v>82</v>
      </c>
      <c r="B243" s="2" t="s">
        <v>21</v>
      </c>
      <c r="C243" s="2" t="s">
        <v>24</v>
      </c>
      <c r="D243" s="2">
        <v>676337.41</v>
      </c>
      <c r="E243" s="2">
        <v>654228.26</v>
      </c>
      <c r="F243" s="2">
        <v>22109.15</v>
      </c>
    </row>
    <row r="244" ht="15.75" customHeight="1">
      <c r="A244" s="2" t="s">
        <v>82</v>
      </c>
      <c r="B244" s="2" t="s">
        <v>21</v>
      </c>
      <c r="C244" s="2" t="s">
        <v>24</v>
      </c>
      <c r="D244" s="2">
        <v>828219.67</v>
      </c>
      <c r="E244" s="2">
        <v>831325.04</v>
      </c>
      <c r="F244" s="2">
        <v>-3105.37</v>
      </c>
    </row>
    <row r="245" ht="15.75" customHeight="1">
      <c r="A245" s="2" t="s">
        <v>82</v>
      </c>
      <c r="B245" s="2" t="s">
        <v>21</v>
      </c>
      <c r="C245" s="2" t="s">
        <v>24</v>
      </c>
      <c r="D245" s="2">
        <v>763159.92</v>
      </c>
      <c r="E245" s="2">
        <v>775629.59</v>
      </c>
      <c r="F245" s="2">
        <v>-12469.67</v>
      </c>
    </row>
    <row r="246" ht="15.75" customHeight="1">
      <c r="A246" s="2" t="s">
        <v>83</v>
      </c>
      <c r="B246" s="2" t="s">
        <v>18</v>
      </c>
      <c r="C246" s="2" t="s">
        <v>15</v>
      </c>
      <c r="D246" s="2">
        <v>802001.68</v>
      </c>
      <c r="E246" s="2">
        <v>791685.39</v>
      </c>
      <c r="F246" s="2">
        <v>10316.29</v>
      </c>
    </row>
    <row r="247" ht="15.75" customHeight="1">
      <c r="A247" s="2" t="s">
        <v>83</v>
      </c>
      <c r="B247" s="2" t="s">
        <v>18</v>
      </c>
      <c r="C247" s="2" t="s">
        <v>15</v>
      </c>
      <c r="D247" s="2">
        <v>750471.34</v>
      </c>
      <c r="E247" s="2">
        <v>748880.19</v>
      </c>
      <c r="F247" s="2">
        <v>1591.15</v>
      </c>
    </row>
    <row r="248" ht="15.75" customHeight="1">
      <c r="A248" s="2" t="s">
        <v>83</v>
      </c>
      <c r="B248" s="2" t="s">
        <v>18</v>
      </c>
      <c r="C248" s="2" t="s">
        <v>15</v>
      </c>
      <c r="D248" s="2">
        <v>679230.86</v>
      </c>
      <c r="E248" s="2">
        <v>728919.55</v>
      </c>
      <c r="F248" s="2">
        <v>-49688.69</v>
      </c>
    </row>
    <row r="249" ht="15.75" customHeight="1">
      <c r="A249" s="2" t="s">
        <v>83</v>
      </c>
      <c r="B249" s="2" t="s">
        <v>18</v>
      </c>
      <c r="C249" s="2" t="s">
        <v>15</v>
      </c>
      <c r="D249" s="2">
        <v>679888.74</v>
      </c>
      <c r="E249" s="2">
        <v>701821.85</v>
      </c>
      <c r="F249" s="2">
        <v>-21933.11</v>
      </c>
    </row>
    <row r="250" ht="15.75" customHeight="1">
      <c r="A250" s="2" t="s">
        <v>84</v>
      </c>
      <c r="B250" s="2" t="s">
        <v>18</v>
      </c>
      <c r="C250" s="2" t="s">
        <v>20</v>
      </c>
      <c r="D250" s="2">
        <v>606783.67</v>
      </c>
      <c r="E250" s="2">
        <v>592837.61</v>
      </c>
      <c r="F250" s="2">
        <v>13946.06</v>
      </c>
    </row>
    <row r="251" ht="15.75" customHeight="1">
      <c r="A251" s="2" t="s">
        <v>84</v>
      </c>
      <c r="B251" s="2" t="s">
        <v>18</v>
      </c>
      <c r="C251" s="2" t="s">
        <v>20</v>
      </c>
      <c r="D251" s="2">
        <v>642751.42</v>
      </c>
      <c r="E251" s="2">
        <v>658874.54</v>
      </c>
      <c r="F251" s="2">
        <v>-16123.12</v>
      </c>
    </row>
    <row r="252" ht="15.75" customHeight="1">
      <c r="A252" s="2" t="s">
        <v>84</v>
      </c>
      <c r="B252" s="2" t="s">
        <v>18</v>
      </c>
      <c r="C252" s="2" t="s">
        <v>20</v>
      </c>
      <c r="D252" s="2">
        <v>647953.78</v>
      </c>
      <c r="E252" s="2">
        <v>649992.25</v>
      </c>
      <c r="F252" s="2">
        <v>-2038.47</v>
      </c>
    </row>
    <row r="253" ht="15.75" customHeight="1">
      <c r="A253" s="2" t="s">
        <v>84</v>
      </c>
      <c r="B253" s="2" t="s">
        <v>18</v>
      </c>
      <c r="C253" s="2" t="s">
        <v>20</v>
      </c>
      <c r="D253" s="2">
        <v>729440.45</v>
      </c>
      <c r="E253" s="2">
        <v>702559.22</v>
      </c>
      <c r="F253" s="2">
        <v>26881.23</v>
      </c>
    </row>
    <row r="254" ht="15.75" customHeight="1">
      <c r="A254" s="2" t="s">
        <v>85</v>
      </c>
      <c r="B254" s="2" t="s">
        <v>21</v>
      </c>
      <c r="C254" s="2" t="s">
        <v>24</v>
      </c>
      <c r="D254" s="2">
        <v>764949.0</v>
      </c>
      <c r="E254" s="2">
        <v>771710.95</v>
      </c>
      <c r="F254" s="2">
        <v>-6761.95</v>
      </c>
    </row>
    <row r="255" ht="15.75" customHeight="1">
      <c r="A255" s="2" t="s">
        <v>85</v>
      </c>
      <c r="B255" s="2" t="s">
        <v>21</v>
      </c>
      <c r="C255" s="2" t="s">
        <v>24</v>
      </c>
      <c r="D255" s="2">
        <v>799046.94</v>
      </c>
      <c r="E255" s="2">
        <v>725855.55</v>
      </c>
      <c r="F255" s="2">
        <v>73191.39</v>
      </c>
    </row>
    <row r="256" ht="15.75" customHeight="1">
      <c r="A256" s="2" t="s">
        <v>85</v>
      </c>
      <c r="B256" s="2" t="s">
        <v>21</v>
      </c>
      <c r="C256" s="2" t="s">
        <v>24</v>
      </c>
      <c r="D256" s="2">
        <v>720079.54</v>
      </c>
      <c r="E256" s="2">
        <v>688939.53</v>
      </c>
      <c r="F256" s="2">
        <v>31140.01</v>
      </c>
    </row>
    <row r="257" ht="15.75" customHeight="1">
      <c r="A257" s="2" t="s">
        <v>85</v>
      </c>
      <c r="B257" s="2" t="s">
        <v>21</v>
      </c>
      <c r="C257" s="2" t="s">
        <v>24</v>
      </c>
      <c r="D257" s="2">
        <v>612390.14</v>
      </c>
      <c r="E257" s="2">
        <v>659465.84</v>
      </c>
      <c r="F257" s="2">
        <v>-47075.7</v>
      </c>
    </row>
    <row r="258" ht="15.75" customHeight="1">
      <c r="A258" s="2" t="s">
        <v>86</v>
      </c>
      <c r="B258" s="2" t="s">
        <v>28</v>
      </c>
      <c r="C258" s="2" t="s">
        <v>24</v>
      </c>
      <c r="D258" s="2">
        <v>840108.12</v>
      </c>
      <c r="E258" s="2">
        <v>754731.98</v>
      </c>
      <c r="F258" s="2">
        <v>85376.14</v>
      </c>
    </row>
    <row r="259" ht="15.75" customHeight="1">
      <c r="A259" s="2" t="s">
        <v>86</v>
      </c>
      <c r="B259" s="2" t="s">
        <v>28</v>
      </c>
      <c r="C259" s="2" t="s">
        <v>24</v>
      </c>
      <c r="D259" s="2">
        <v>697888.09</v>
      </c>
      <c r="E259" s="2">
        <v>679262.5</v>
      </c>
      <c r="F259" s="2">
        <v>18625.59</v>
      </c>
    </row>
    <row r="260" ht="15.75" customHeight="1">
      <c r="A260" s="2" t="s">
        <v>86</v>
      </c>
      <c r="B260" s="2" t="s">
        <v>28</v>
      </c>
      <c r="C260" s="2" t="s">
        <v>24</v>
      </c>
      <c r="D260" s="2">
        <v>746115.59</v>
      </c>
      <c r="E260" s="2">
        <v>742864.71</v>
      </c>
      <c r="F260" s="2">
        <v>3250.88</v>
      </c>
    </row>
    <row r="261" ht="15.75" customHeight="1">
      <c r="A261" s="2" t="s">
        <v>86</v>
      </c>
      <c r="B261" s="2" t="s">
        <v>28</v>
      </c>
      <c r="C261" s="2" t="s">
        <v>24</v>
      </c>
      <c r="D261" s="2">
        <v>776110.32</v>
      </c>
      <c r="E261" s="2">
        <v>732878.01</v>
      </c>
      <c r="F261" s="2">
        <v>43232.31</v>
      </c>
    </row>
    <row r="262" ht="15.75" customHeight="1">
      <c r="A262" s="2" t="s">
        <v>87</v>
      </c>
      <c r="B262" s="2" t="s">
        <v>18</v>
      </c>
      <c r="C262" s="2" t="s">
        <v>27</v>
      </c>
      <c r="D262" s="2">
        <v>528852.62</v>
      </c>
      <c r="E262" s="2">
        <v>520194.65</v>
      </c>
      <c r="F262" s="2">
        <v>8657.97</v>
      </c>
    </row>
    <row r="263" ht="15.75" customHeight="1">
      <c r="A263" s="2" t="s">
        <v>87</v>
      </c>
      <c r="B263" s="2" t="s">
        <v>18</v>
      </c>
      <c r="C263" s="2" t="s">
        <v>27</v>
      </c>
      <c r="D263" s="2">
        <v>605751.33</v>
      </c>
      <c r="E263" s="2">
        <v>602494.14</v>
      </c>
      <c r="F263" s="2">
        <v>3257.19</v>
      </c>
    </row>
    <row r="264" ht="15.75" customHeight="1">
      <c r="A264" s="2" t="s">
        <v>87</v>
      </c>
      <c r="B264" s="2" t="s">
        <v>18</v>
      </c>
      <c r="C264" s="2" t="s">
        <v>27</v>
      </c>
      <c r="D264" s="2">
        <v>677640.65</v>
      </c>
      <c r="E264" s="2">
        <v>598995.14</v>
      </c>
      <c r="F264" s="2">
        <v>78645.51</v>
      </c>
    </row>
    <row r="265" ht="15.75" customHeight="1">
      <c r="A265" s="2" t="s">
        <v>87</v>
      </c>
      <c r="B265" s="2" t="s">
        <v>18</v>
      </c>
      <c r="C265" s="2" t="s">
        <v>27</v>
      </c>
      <c r="D265" s="2">
        <v>636613.23</v>
      </c>
      <c r="E265" s="2">
        <v>615887.4</v>
      </c>
      <c r="F265" s="2">
        <v>20725.83</v>
      </c>
    </row>
    <row r="266" ht="15.75" customHeight="1">
      <c r="A266" s="2" t="s">
        <v>88</v>
      </c>
      <c r="B266" s="2" t="s">
        <v>18</v>
      </c>
      <c r="C266" s="2" t="s">
        <v>15</v>
      </c>
      <c r="D266" s="2">
        <v>708985.19</v>
      </c>
      <c r="E266" s="2">
        <v>725906.58</v>
      </c>
      <c r="F266" s="2">
        <v>-16921.39</v>
      </c>
    </row>
    <row r="267" ht="15.75" customHeight="1">
      <c r="A267" s="2" t="s">
        <v>88</v>
      </c>
      <c r="B267" s="2" t="s">
        <v>18</v>
      </c>
      <c r="C267" s="2" t="s">
        <v>15</v>
      </c>
      <c r="D267" s="2">
        <v>767792.94</v>
      </c>
      <c r="E267" s="2">
        <v>746351.03</v>
      </c>
      <c r="F267" s="2">
        <v>21441.91</v>
      </c>
    </row>
    <row r="268" ht="15.75" customHeight="1">
      <c r="A268" s="2" t="s">
        <v>88</v>
      </c>
      <c r="B268" s="2" t="s">
        <v>18</v>
      </c>
      <c r="C268" s="2" t="s">
        <v>15</v>
      </c>
      <c r="D268" s="2">
        <v>745580.51</v>
      </c>
      <c r="E268" s="2">
        <v>734374.38</v>
      </c>
      <c r="F268" s="2">
        <v>11206.13</v>
      </c>
    </row>
    <row r="269" ht="15.75" customHeight="1">
      <c r="A269" s="2" t="s">
        <v>88</v>
      </c>
      <c r="B269" s="2" t="s">
        <v>18</v>
      </c>
      <c r="C269" s="2" t="s">
        <v>15</v>
      </c>
      <c r="D269" s="2">
        <v>762328.31</v>
      </c>
      <c r="E269" s="2">
        <v>724646.63</v>
      </c>
      <c r="F269" s="2">
        <v>37681.68</v>
      </c>
    </row>
    <row r="270" ht="15.75" customHeight="1">
      <c r="A270" s="2" t="s">
        <v>89</v>
      </c>
      <c r="B270" s="2" t="s">
        <v>28</v>
      </c>
      <c r="C270" s="2" t="s">
        <v>15</v>
      </c>
      <c r="D270" s="2">
        <v>660633.99</v>
      </c>
      <c r="E270" s="2">
        <v>746357.98</v>
      </c>
      <c r="F270" s="2">
        <v>-85723.99</v>
      </c>
    </row>
    <row r="271" ht="15.75" customHeight="1">
      <c r="A271" s="2" t="s">
        <v>89</v>
      </c>
      <c r="B271" s="2" t="s">
        <v>28</v>
      </c>
      <c r="C271" s="2" t="s">
        <v>15</v>
      </c>
      <c r="D271" s="2">
        <v>739374.56</v>
      </c>
      <c r="E271" s="2">
        <v>708751.29</v>
      </c>
      <c r="F271" s="2">
        <v>30623.27</v>
      </c>
    </row>
    <row r="272" ht="15.75" customHeight="1">
      <c r="A272" s="2" t="s">
        <v>89</v>
      </c>
      <c r="B272" s="2" t="s">
        <v>28</v>
      </c>
      <c r="C272" s="2" t="s">
        <v>15</v>
      </c>
      <c r="D272" s="2">
        <v>799756.46</v>
      </c>
      <c r="E272" s="2">
        <v>814241.13</v>
      </c>
      <c r="F272" s="2">
        <v>-14484.67</v>
      </c>
    </row>
    <row r="273" ht="15.75" customHeight="1">
      <c r="A273" s="2" t="s">
        <v>89</v>
      </c>
      <c r="B273" s="2" t="s">
        <v>28</v>
      </c>
      <c r="C273" s="2" t="s">
        <v>15</v>
      </c>
      <c r="D273" s="2">
        <v>593343.0</v>
      </c>
      <c r="E273" s="2">
        <v>676647.74</v>
      </c>
      <c r="F273" s="2">
        <v>-83304.74</v>
      </c>
    </row>
    <row r="274" ht="15.75" customHeight="1">
      <c r="A274" s="2" t="s">
        <v>90</v>
      </c>
      <c r="B274" s="2" t="s">
        <v>18</v>
      </c>
      <c r="C274" s="2" t="s">
        <v>27</v>
      </c>
      <c r="D274" s="2">
        <v>645039.97</v>
      </c>
      <c r="E274" s="2">
        <v>642412.62</v>
      </c>
      <c r="F274" s="2">
        <v>2627.35</v>
      </c>
    </row>
    <row r="275" ht="15.75" customHeight="1">
      <c r="A275" s="2" t="s">
        <v>90</v>
      </c>
      <c r="B275" s="2" t="s">
        <v>18</v>
      </c>
      <c r="C275" s="2" t="s">
        <v>27</v>
      </c>
      <c r="D275" s="2">
        <v>561597.33</v>
      </c>
      <c r="E275" s="2">
        <v>535532.12</v>
      </c>
      <c r="F275" s="2">
        <v>26065.21</v>
      </c>
    </row>
    <row r="276" ht="15.75" customHeight="1">
      <c r="A276" s="2" t="s">
        <v>90</v>
      </c>
      <c r="B276" s="2" t="s">
        <v>18</v>
      </c>
      <c r="C276" s="2" t="s">
        <v>27</v>
      </c>
      <c r="D276" s="2">
        <v>635837.74</v>
      </c>
      <c r="E276" s="2">
        <v>654338.33</v>
      </c>
      <c r="F276" s="2">
        <v>-18500.59</v>
      </c>
    </row>
    <row r="277" ht="15.75" customHeight="1">
      <c r="A277" s="2" t="s">
        <v>90</v>
      </c>
      <c r="B277" s="2" t="s">
        <v>18</v>
      </c>
      <c r="C277" s="2" t="s">
        <v>27</v>
      </c>
      <c r="D277" s="2">
        <v>686737.87</v>
      </c>
      <c r="E277" s="2">
        <v>611928.24</v>
      </c>
      <c r="F277" s="2">
        <v>74809.63</v>
      </c>
    </row>
    <row r="278" ht="15.75" customHeight="1">
      <c r="A278" s="2" t="s">
        <v>91</v>
      </c>
      <c r="B278" s="2" t="s">
        <v>16</v>
      </c>
      <c r="C278" s="2" t="s">
        <v>24</v>
      </c>
      <c r="D278" s="2">
        <v>673076.34</v>
      </c>
      <c r="E278" s="2">
        <v>726727.2</v>
      </c>
      <c r="F278" s="2">
        <v>-53650.86</v>
      </c>
    </row>
    <row r="279" ht="15.75" customHeight="1">
      <c r="A279" s="2" t="s">
        <v>91</v>
      </c>
      <c r="B279" s="2" t="s">
        <v>16</v>
      </c>
      <c r="C279" s="2" t="s">
        <v>24</v>
      </c>
      <c r="D279" s="2">
        <v>738548.42</v>
      </c>
      <c r="E279" s="2">
        <v>690725.92</v>
      </c>
      <c r="F279" s="2">
        <v>47822.5</v>
      </c>
    </row>
    <row r="280" ht="15.75" customHeight="1">
      <c r="A280" s="2" t="s">
        <v>91</v>
      </c>
      <c r="B280" s="2" t="s">
        <v>16</v>
      </c>
      <c r="C280" s="2" t="s">
        <v>24</v>
      </c>
      <c r="D280" s="2">
        <v>756619.77</v>
      </c>
      <c r="E280" s="2">
        <v>733252.85</v>
      </c>
      <c r="F280" s="2">
        <v>23366.92</v>
      </c>
    </row>
    <row r="281" ht="15.75" customHeight="1">
      <c r="A281" s="2" t="s">
        <v>91</v>
      </c>
      <c r="B281" s="2" t="s">
        <v>16</v>
      </c>
      <c r="C281" s="2" t="s">
        <v>24</v>
      </c>
      <c r="D281" s="2">
        <v>761122.42</v>
      </c>
      <c r="E281" s="2">
        <v>766960.02</v>
      </c>
      <c r="F281" s="2">
        <v>-5837.6</v>
      </c>
    </row>
    <row r="282" ht="15.75" customHeight="1">
      <c r="A282" s="2" t="s">
        <v>92</v>
      </c>
      <c r="B282" s="2" t="s">
        <v>18</v>
      </c>
      <c r="C282" s="2" t="s">
        <v>24</v>
      </c>
      <c r="D282" s="2">
        <v>524899.57</v>
      </c>
      <c r="E282" s="2">
        <v>562313.13</v>
      </c>
      <c r="F282" s="2">
        <v>-37413.56</v>
      </c>
    </row>
    <row r="283" ht="15.75" customHeight="1">
      <c r="A283" s="2" t="s">
        <v>92</v>
      </c>
      <c r="B283" s="2" t="s">
        <v>18</v>
      </c>
      <c r="C283" s="2" t="s">
        <v>24</v>
      </c>
      <c r="D283" s="2">
        <v>555557.77</v>
      </c>
      <c r="E283" s="2">
        <v>587337.23</v>
      </c>
      <c r="F283" s="2">
        <v>-31779.46</v>
      </c>
    </row>
    <row r="284" ht="15.75" customHeight="1">
      <c r="A284" s="2" t="s">
        <v>92</v>
      </c>
      <c r="B284" s="2" t="s">
        <v>18</v>
      </c>
      <c r="C284" s="2" t="s">
        <v>24</v>
      </c>
      <c r="D284" s="2">
        <v>714083.68</v>
      </c>
      <c r="E284" s="2">
        <v>693758.64</v>
      </c>
      <c r="F284" s="2">
        <v>20325.04</v>
      </c>
    </row>
    <row r="285" ht="15.75" customHeight="1">
      <c r="A285" s="2" t="s">
        <v>92</v>
      </c>
      <c r="B285" s="2" t="s">
        <v>18</v>
      </c>
      <c r="C285" s="2" t="s">
        <v>24</v>
      </c>
      <c r="D285" s="2">
        <v>497439.82</v>
      </c>
      <c r="E285" s="2">
        <v>497854.1</v>
      </c>
      <c r="F285" s="2">
        <v>-414.28</v>
      </c>
    </row>
    <row r="286" ht="15.75" customHeight="1">
      <c r="A286" s="2" t="s">
        <v>93</v>
      </c>
      <c r="B286" s="2" t="s">
        <v>16</v>
      </c>
      <c r="C286" s="2" t="s">
        <v>27</v>
      </c>
      <c r="D286" s="2">
        <v>636775.66</v>
      </c>
      <c r="E286" s="2">
        <v>624024.8</v>
      </c>
      <c r="F286" s="2">
        <v>12750.86</v>
      </c>
    </row>
    <row r="287" ht="15.75" customHeight="1">
      <c r="A287" s="2" t="s">
        <v>93</v>
      </c>
      <c r="B287" s="2" t="s">
        <v>16</v>
      </c>
      <c r="C287" s="2" t="s">
        <v>27</v>
      </c>
      <c r="D287" s="2">
        <v>633009.53</v>
      </c>
      <c r="E287" s="2">
        <v>614403.68</v>
      </c>
      <c r="F287" s="2">
        <v>18605.85</v>
      </c>
    </row>
    <row r="288" ht="15.75" customHeight="1">
      <c r="A288" s="2" t="s">
        <v>93</v>
      </c>
      <c r="B288" s="2" t="s">
        <v>16</v>
      </c>
      <c r="C288" s="2" t="s">
        <v>27</v>
      </c>
      <c r="D288" s="2">
        <v>609949.0</v>
      </c>
      <c r="E288" s="2">
        <v>590309.85</v>
      </c>
      <c r="F288" s="2">
        <v>19639.15</v>
      </c>
    </row>
    <row r="289" ht="15.75" customHeight="1">
      <c r="A289" s="2" t="s">
        <v>93</v>
      </c>
      <c r="B289" s="2" t="s">
        <v>16</v>
      </c>
      <c r="C289" s="2" t="s">
        <v>27</v>
      </c>
      <c r="D289" s="2">
        <v>548103.7</v>
      </c>
      <c r="E289" s="2">
        <v>547061.19</v>
      </c>
      <c r="F289" s="2">
        <v>1042.51</v>
      </c>
    </row>
    <row r="290" ht="15.75" customHeight="1">
      <c r="A290" s="2" t="s">
        <v>94</v>
      </c>
      <c r="B290" s="2" t="s">
        <v>16</v>
      </c>
      <c r="C290" s="2" t="s">
        <v>15</v>
      </c>
      <c r="D290" s="2">
        <v>729424.42</v>
      </c>
      <c r="E290" s="2">
        <v>704843.34</v>
      </c>
      <c r="F290" s="2">
        <v>24581.08</v>
      </c>
    </row>
    <row r="291" ht="15.75" customHeight="1">
      <c r="A291" s="2" t="s">
        <v>94</v>
      </c>
      <c r="B291" s="2" t="s">
        <v>16</v>
      </c>
      <c r="C291" s="2" t="s">
        <v>15</v>
      </c>
      <c r="D291" s="2">
        <v>696261.49</v>
      </c>
      <c r="E291" s="2">
        <v>730865.98</v>
      </c>
      <c r="F291" s="2">
        <v>-34604.49</v>
      </c>
    </row>
    <row r="292" ht="15.75" customHeight="1">
      <c r="A292" s="2" t="s">
        <v>94</v>
      </c>
      <c r="B292" s="2" t="s">
        <v>16</v>
      </c>
      <c r="C292" s="2" t="s">
        <v>15</v>
      </c>
      <c r="D292" s="2">
        <v>813316.71</v>
      </c>
      <c r="E292" s="2">
        <v>710743.06</v>
      </c>
      <c r="F292" s="2">
        <v>102573.65</v>
      </c>
    </row>
    <row r="293" ht="15.75" customHeight="1">
      <c r="A293" s="2" t="s">
        <v>94</v>
      </c>
      <c r="B293" s="2" t="s">
        <v>16</v>
      </c>
      <c r="C293" s="2" t="s">
        <v>15</v>
      </c>
      <c r="D293" s="2">
        <v>702068.92</v>
      </c>
      <c r="E293" s="2">
        <v>699395.96</v>
      </c>
      <c r="F293" s="2">
        <v>2672.96</v>
      </c>
    </row>
    <row r="294" ht="15.75" customHeight="1">
      <c r="A294" s="2" t="s">
        <v>95</v>
      </c>
      <c r="B294" s="2" t="s">
        <v>18</v>
      </c>
      <c r="C294" s="2" t="s">
        <v>27</v>
      </c>
      <c r="D294" s="2">
        <v>546223.7</v>
      </c>
      <c r="E294" s="2">
        <v>570110.61</v>
      </c>
      <c r="F294" s="2">
        <v>-23886.91</v>
      </c>
    </row>
    <row r="295" ht="15.75" customHeight="1">
      <c r="A295" s="2" t="s">
        <v>95</v>
      </c>
      <c r="B295" s="2" t="s">
        <v>18</v>
      </c>
      <c r="C295" s="2" t="s">
        <v>27</v>
      </c>
      <c r="D295" s="2">
        <v>533121.26</v>
      </c>
      <c r="E295" s="2">
        <v>522400.14</v>
      </c>
      <c r="F295" s="2">
        <v>10721.12</v>
      </c>
    </row>
    <row r="296" ht="15.75" customHeight="1">
      <c r="A296" s="2" t="s">
        <v>95</v>
      </c>
      <c r="B296" s="2" t="s">
        <v>18</v>
      </c>
      <c r="C296" s="2" t="s">
        <v>27</v>
      </c>
      <c r="D296" s="2">
        <v>498970.32</v>
      </c>
      <c r="E296" s="2">
        <v>503256.9</v>
      </c>
      <c r="F296" s="2">
        <v>-4286.58</v>
      </c>
    </row>
    <row r="297" ht="15.75" customHeight="1">
      <c r="A297" s="2" t="s">
        <v>95</v>
      </c>
      <c r="B297" s="2" t="s">
        <v>18</v>
      </c>
      <c r="C297" s="2" t="s">
        <v>27</v>
      </c>
      <c r="D297" s="2">
        <v>487738.26</v>
      </c>
      <c r="E297" s="2">
        <v>465380.21</v>
      </c>
      <c r="F297" s="2">
        <v>22358.05</v>
      </c>
    </row>
    <row r="298" ht="15.75" customHeight="1">
      <c r="A298" s="2" t="s">
        <v>96</v>
      </c>
      <c r="B298" s="2" t="s">
        <v>18</v>
      </c>
      <c r="C298" s="2" t="s">
        <v>27</v>
      </c>
      <c r="D298" s="2">
        <v>668459.37</v>
      </c>
      <c r="E298" s="2">
        <v>664365.16</v>
      </c>
      <c r="F298" s="2">
        <v>4094.21</v>
      </c>
    </row>
    <row r="299" ht="15.75" customHeight="1">
      <c r="A299" s="2" t="s">
        <v>96</v>
      </c>
      <c r="B299" s="2" t="s">
        <v>18</v>
      </c>
      <c r="C299" s="2" t="s">
        <v>27</v>
      </c>
      <c r="D299" s="2">
        <v>763162.45</v>
      </c>
      <c r="E299" s="2">
        <v>679308.67</v>
      </c>
      <c r="F299" s="2">
        <v>83853.78</v>
      </c>
    </row>
    <row r="300" ht="15.75" customHeight="1">
      <c r="A300" s="2" t="s">
        <v>96</v>
      </c>
      <c r="B300" s="2" t="s">
        <v>18</v>
      </c>
      <c r="C300" s="2" t="s">
        <v>27</v>
      </c>
      <c r="D300" s="2">
        <v>599017.33</v>
      </c>
      <c r="E300" s="2">
        <v>617546.58</v>
      </c>
      <c r="F300" s="2">
        <v>-18529.25</v>
      </c>
    </row>
    <row r="301" ht="15.75" customHeight="1">
      <c r="A301" s="2" t="s">
        <v>96</v>
      </c>
      <c r="B301" s="2" t="s">
        <v>18</v>
      </c>
      <c r="C301" s="2" t="s">
        <v>27</v>
      </c>
      <c r="D301" s="2">
        <v>401582.58</v>
      </c>
      <c r="E301" s="2">
        <v>472119.75</v>
      </c>
      <c r="F301" s="2">
        <v>-70537.17</v>
      </c>
    </row>
    <row r="302" ht="15.75" customHeight="1">
      <c r="A302" s="2" t="s">
        <v>97</v>
      </c>
      <c r="B302" s="2" t="s">
        <v>28</v>
      </c>
      <c r="C302" s="2" t="s">
        <v>20</v>
      </c>
      <c r="D302" s="2">
        <v>703812.99</v>
      </c>
      <c r="E302" s="2">
        <v>737769.6</v>
      </c>
      <c r="F302" s="2">
        <v>-33956.61</v>
      </c>
    </row>
    <row r="303" ht="15.75" customHeight="1">
      <c r="A303" s="2" t="s">
        <v>97</v>
      </c>
      <c r="B303" s="2" t="s">
        <v>28</v>
      </c>
      <c r="C303" s="2" t="s">
        <v>20</v>
      </c>
      <c r="D303" s="2">
        <v>724346.73</v>
      </c>
      <c r="E303" s="2">
        <v>736829.06</v>
      </c>
      <c r="F303" s="2">
        <v>-12482.33</v>
      </c>
    </row>
    <row r="304" ht="15.75" customHeight="1">
      <c r="A304" s="2" t="s">
        <v>97</v>
      </c>
      <c r="B304" s="2" t="s">
        <v>28</v>
      </c>
      <c r="C304" s="2" t="s">
        <v>20</v>
      </c>
      <c r="D304" s="2">
        <v>730890.01</v>
      </c>
      <c r="E304" s="2">
        <v>741713.25</v>
      </c>
      <c r="F304" s="2">
        <v>-10823.24</v>
      </c>
    </row>
    <row r="305" ht="15.75" customHeight="1">
      <c r="A305" s="2" t="s">
        <v>97</v>
      </c>
      <c r="B305" s="2" t="s">
        <v>28</v>
      </c>
      <c r="C305" s="2" t="s">
        <v>20</v>
      </c>
      <c r="D305" s="2">
        <v>780580.95</v>
      </c>
      <c r="E305" s="2">
        <v>730051.44</v>
      </c>
      <c r="F305" s="2">
        <v>50529.51</v>
      </c>
    </row>
    <row r="306" ht="15.75" customHeight="1">
      <c r="A306" s="2" t="s">
        <v>98</v>
      </c>
      <c r="B306" s="2" t="s">
        <v>16</v>
      </c>
      <c r="C306" s="2" t="s">
        <v>24</v>
      </c>
      <c r="D306" s="2">
        <v>727957.48</v>
      </c>
      <c r="E306" s="2">
        <v>674128.02</v>
      </c>
      <c r="F306" s="2">
        <v>53829.46</v>
      </c>
    </row>
    <row r="307" ht="15.75" customHeight="1">
      <c r="A307" s="2" t="s">
        <v>98</v>
      </c>
      <c r="B307" s="2" t="s">
        <v>16</v>
      </c>
      <c r="C307" s="2" t="s">
        <v>24</v>
      </c>
      <c r="D307" s="2">
        <v>538376.0</v>
      </c>
      <c r="E307" s="2">
        <v>624478.29</v>
      </c>
      <c r="F307" s="2">
        <v>-86102.29</v>
      </c>
    </row>
    <row r="308" ht="15.75" customHeight="1">
      <c r="A308" s="2" t="s">
        <v>98</v>
      </c>
      <c r="B308" s="2" t="s">
        <v>16</v>
      </c>
      <c r="C308" s="2" t="s">
        <v>24</v>
      </c>
      <c r="D308" s="2">
        <v>665342.49</v>
      </c>
      <c r="E308" s="2">
        <v>602868.19</v>
      </c>
      <c r="F308" s="2">
        <v>62474.3</v>
      </c>
    </row>
    <row r="309" ht="15.75" customHeight="1">
      <c r="A309" s="2" t="s">
        <v>98</v>
      </c>
      <c r="B309" s="2" t="s">
        <v>16</v>
      </c>
      <c r="C309" s="2" t="s">
        <v>24</v>
      </c>
      <c r="D309" s="2">
        <v>651164.18</v>
      </c>
      <c r="E309" s="2">
        <v>696112.32</v>
      </c>
      <c r="F309" s="2">
        <v>-44948.14</v>
      </c>
    </row>
    <row r="310" ht="15.75" customHeight="1">
      <c r="A310" s="2" t="s">
        <v>99</v>
      </c>
      <c r="B310" s="2" t="s">
        <v>18</v>
      </c>
      <c r="C310" s="2" t="s">
        <v>24</v>
      </c>
      <c r="D310" s="2">
        <v>628538.3</v>
      </c>
      <c r="E310" s="2">
        <v>637381.57</v>
      </c>
      <c r="F310" s="2">
        <v>-8843.27</v>
      </c>
    </row>
    <row r="311" ht="15.75" customHeight="1">
      <c r="A311" s="2" t="s">
        <v>99</v>
      </c>
      <c r="B311" s="2" t="s">
        <v>18</v>
      </c>
      <c r="C311" s="2" t="s">
        <v>24</v>
      </c>
      <c r="D311" s="2">
        <v>536524.84</v>
      </c>
      <c r="E311" s="2">
        <v>573328.21</v>
      </c>
      <c r="F311" s="2">
        <v>-36803.37</v>
      </c>
    </row>
    <row r="312" ht="15.75" customHeight="1">
      <c r="A312" s="2" t="s">
        <v>99</v>
      </c>
      <c r="B312" s="2" t="s">
        <v>18</v>
      </c>
      <c r="C312" s="2" t="s">
        <v>24</v>
      </c>
      <c r="D312" s="2">
        <v>621677.3</v>
      </c>
      <c r="E312" s="2">
        <v>629204.71</v>
      </c>
      <c r="F312" s="2">
        <v>-7527.41</v>
      </c>
    </row>
    <row r="313" ht="15.75" customHeight="1">
      <c r="A313" s="2" t="s">
        <v>99</v>
      </c>
      <c r="B313" s="2" t="s">
        <v>18</v>
      </c>
      <c r="C313" s="2" t="s">
        <v>24</v>
      </c>
      <c r="D313" s="2">
        <v>771129.07</v>
      </c>
      <c r="E313" s="2">
        <v>753934.93</v>
      </c>
      <c r="F313" s="2">
        <v>17194.14</v>
      </c>
    </row>
    <row r="314" ht="15.75" customHeight="1">
      <c r="A314" s="2" t="s">
        <v>100</v>
      </c>
      <c r="B314" s="2" t="s">
        <v>16</v>
      </c>
      <c r="C314" s="2" t="s">
        <v>20</v>
      </c>
      <c r="D314" s="2">
        <v>702052.47</v>
      </c>
      <c r="E314" s="2">
        <v>668715.59</v>
      </c>
      <c r="F314" s="2">
        <v>33336.88</v>
      </c>
    </row>
    <row r="315" ht="15.75" customHeight="1">
      <c r="A315" s="2" t="s">
        <v>100</v>
      </c>
      <c r="B315" s="2" t="s">
        <v>16</v>
      </c>
      <c r="C315" s="2" t="s">
        <v>20</v>
      </c>
      <c r="D315" s="2">
        <v>688368.46</v>
      </c>
      <c r="E315" s="2">
        <v>717741.27</v>
      </c>
      <c r="F315" s="2">
        <v>-29372.81</v>
      </c>
    </row>
    <row r="316" ht="15.75" customHeight="1">
      <c r="A316" s="2" t="s">
        <v>100</v>
      </c>
      <c r="B316" s="2" t="s">
        <v>16</v>
      </c>
      <c r="C316" s="2" t="s">
        <v>20</v>
      </c>
      <c r="D316" s="2">
        <v>712375.77</v>
      </c>
      <c r="E316" s="2">
        <v>678931.27</v>
      </c>
      <c r="F316" s="2">
        <v>33444.5</v>
      </c>
    </row>
    <row r="317" ht="15.75" customHeight="1">
      <c r="A317" s="2" t="s">
        <v>100</v>
      </c>
      <c r="B317" s="2" t="s">
        <v>16</v>
      </c>
      <c r="C317" s="2" t="s">
        <v>20</v>
      </c>
      <c r="D317" s="2">
        <v>844710.67</v>
      </c>
      <c r="E317" s="2">
        <v>803305.13</v>
      </c>
      <c r="F317" s="2">
        <v>41405.54</v>
      </c>
    </row>
    <row r="318" ht="15.75" customHeight="1">
      <c r="A318" s="2" t="s">
        <v>101</v>
      </c>
      <c r="B318" s="2" t="s">
        <v>16</v>
      </c>
      <c r="C318" s="2" t="s">
        <v>15</v>
      </c>
      <c r="D318" s="2">
        <v>620264.2</v>
      </c>
      <c r="E318" s="2">
        <v>671089.49</v>
      </c>
      <c r="F318" s="2">
        <v>-50825.29</v>
      </c>
    </row>
    <row r="319" ht="15.75" customHeight="1">
      <c r="A319" s="2" t="s">
        <v>101</v>
      </c>
      <c r="B319" s="2" t="s">
        <v>16</v>
      </c>
      <c r="C319" s="2" t="s">
        <v>15</v>
      </c>
      <c r="D319" s="2">
        <v>536845.42</v>
      </c>
      <c r="E319" s="2">
        <v>521394.5</v>
      </c>
      <c r="F319" s="2">
        <v>15450.92</v>
      </c>
    </row>
    <row r="320" ht="15.75" customHeight="1">
      <c r="A320" s="2" t="s">
        <v>101</v>
      </c>
      <c r="B320" s="2" t="s">
        <v>16</v>
      </c>
      <c r="C320" s="2" t="s">
        <v>15</v>
      </c>
      <c r="D320" s="2">
        <v>726776.22</v>
      </c>
      <c r="E320" s="2">
        <v>728369.35</v>
      </c>
      <c r="F320" s="2">
        <v>-1593.13</v>
      </c>
    </row>
    <row r="321" ht="15.75" customHeight="1">
      <c r="A321" s="2" t="s">
        <v>101</v>
      </c>
      <c r="B321" s="2" t="s">
        <v>16</v>
      </c>
      <c r="C321" s="2" t="s">
        <v>15</v>
      </c>
      <c r="D321" s="2">
        <v>559660.84</v>
      </c>
      <c r="E321" s="2">
        <v>598456.45</v>
      </c>
      <c r="F321" s="2">
        <v>-38795.61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55.0"/>
    <col customWidth="1" min="4" max="4" width="12.0"/>
    <col customWidth="1" min="5" max="6" width="30.0"/>
    <col customWidth="1" min="7" max="26" width="8.71"/>
  </cols>
  <sheetData>
    <row r="1">
      <c r="A1" s="12" t="s">
        <v>161</v>
      </c>
    </row>
    <row r="3">
      <c r="A3" s="13" t="s">
        <v>162</v>
      </c>
      <c r="B3" s="13" t="s">
        <v>163</v>
      </c>
      <c r="C3" s="13" t="s">
        <v>164</v>
      </c>
      <c r="D3" s="13" t="s">
        <v>121</v>
      </c>
      <c r="E3" s="13" t="s">
        <v>165</v>
      </c>
      <c r="F3" s="13" t="s">
        <v>166</v>
      </c>
    </row>
    <row r="4">
      <c r="A4" s="14" t="s">
        <v>167</v>
      </c>
      <c r="B4" s="14" t="s">
        <v>12</v>
      </c>
      <c r="C4" s="14" t="s">
        <v>5</v>
      </c>
      <c r="D4" s="14">
        <v>0.7363</v>
      </c>
      <c r="E4" s="14" t="s">
        <v>168</v>
      </c>
      <c r="F4" s="14" t="s">
        <v>169</v>
      </c>
    </row>
    <row r="5">
      <c r="A5" s="14" t="s">
        <v>170</v>
      </c>
      <c r="B5" s="14" t="s">
        <v>12</v>
      </c>
      <c r="C5" s="14" t="s">
        <v>4</v>
      </c>
      <c r="D5" s="14">
        <v>0.1672</v>
      </c>
      <c r="E5" s="14" t="s">
        <v>171</v>
      </c>
      <c r="F5" s="14" t="s">
        <v>172</v>
      </c>
    </row>
    <row r="6">
      <c r="A6" s="15" t="s">
        <v>173</v>
      </c>
      <c r="B6" s="15" t="s">
        <v>12</v>
      </c>
      <c r="C6" s="15" t="s">
        <v>174</v>
      </c>
      <c r="D6" s="15">
        <v>0.8224</v>
      </c>
      <c r="E6" s="15" t="s">
        <v>175</v>
      </c>
      <c r="F6" s="15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